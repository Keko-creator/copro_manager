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urdanal\Downloads\"/>
    </mc:Choice>
  </mc:AlternateContent>
  <xr:revisionPtr revIDLastSave="0" documentId="8_{BF3F339E-9930-4610-A68C-1F0D87943702}" xr6:coauthVersionLast="47" xr6:coauthVersionMax="47" xr10:uidLastSave="{00000000-0000-0000-0000-000000000000}"/>
  <bookViews>
    <workbookView xWindow="-120" yWindow="-120" windowWidth="29040" windowHeight="15720" xr2:uid="{7E6F337A-989C-4284-85EF-E27ABE1497D5}"/>
  </bookViews>
  <sheets>
    <sheet name="HONORAIRE AGATE" sheetId="1" r:id="rId1"/>
  </sheets>
  <definedNames>
    <definedName name="_Toc479584644" localSheetId="0">'HONORAIRE AGATE'!#REF!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6" i="1" l="1"/>
  <c r="E84" i="1"/>
  <c r="E85" i="1" s="1"/>
  <c r="I82" i="1"/>
  <c r="H82" i="1"/>
  <c r="J82" i="1" s="1"/>
  <c r="K82" i="1" s="1"/>
  <c r="H81" i="1"/>
  <c r="G81" i="1"/>
  <c r="I81" i="1" s="1"/>
  <c r="J81" i="1" s="1"/>
  <c r="K81" i="1" s="1"/>
  <c r="F81" i="1"/>
  <c r="I80" i="1"/>
  <c r="H80" i="1"/>
  <c r="J80" i="1" s="1"/>
  <c r="K80" i="1" s="1"/>
  <c r="I79" i="1"/>
  <c r="H79" i="1"/>
  <c r="J79" i="1" s="1"/>
  <c r="K79" i="1" s="1"/>
  <c r="I78" i="1"/>
  <c r="J78" i="1" s="1"/>
  <c r="K78" i="1" s="1"/>
  <c r="H78" i="1"/>
  <c r="I77" i="1"/>
  <c r="H77" i="1"/>
  <c r="J77" i="1" s="1"/>
  <c r="K77" i="1" s="1"/>
  <c r="I76" i="1"/>
  <c r="H76" i="1"/>
  <c r="J76" i="1" s="1"/>
  <c r="K76" i="1" s="1"/>
  <c r="I75" i="1"/>
  <c r="J75" i="1" s="1"/>
  <c r="K75" i="1" s="1"/>
  <c r="H75" i="1"/>
  <c r="I74" i="1"/>
  <c r="H74" i="1"/>
  <c r="J74" i="1" s="1"/>
  <c r="K74" i="1" s="1"/>
  <c r="I73" i="1"/>
  <c r="H73" i="1"/>
  <c r="J73" i="1" s="1"/>
  <c r="K73" i="1" s="1"/>
  <c r="G73" i="1"/>
  <c r="F73" i="1"/>
  <c r="I72" i="1"/>
  <c r="H72" i="1"/>
  <c r="J72" i="1" s="1"/>
  <c r="K72" i="1" s="1"/>
  <c r="I71" i="1"/>
  <c r="H71" i="1"/>
  <c r="J71" i="1" s="1"/>
  <c r="K71" i="1" s="1"/>
  <c r="H70" i="1"/>
  <c r="G70" i="1"/>
  <c r="I70" i="1" s="1"/>
  <c r="F70" i="1"/>
  <c r="I69" i="1"/>
  <c r="H69" i="1"/>
  <c r="J69" i="1" s="1"/>
  <c r="K69" i="1" s="1"/>
  <c r="I68" i="1"/>
  <c r="H68" i="1"/>
  <c r="J68" i="1" s="1"/>
  <c r="K68" i="1" s="1"/>
  <c r="I67" i="1"/>
  <c r="J67" i="1" s="1"/>
  <c r="K67" i="1" s="1"/>
  <c r="H67" i="1"/>
  <c r="I66" i="1"/>
  <c r="H66" i="1"/>
  <c r="J66" i="1" s="1"/>
  <c r="K66" i="1" s="1"/>
  <c r="I65" i="1"/>
  <c r="H65" i="1"/>
  <c r="J65" i="1" s="1"/>
  <c r="K65" i="1" s="1"/>
  <c r="I64" i="1"/>
  <c r="J64" i="1" s="1"/>
  <c r="K64" i="1" s="1"/>
  <c r="H64" i="1"/>
  <c r="G63" i="1"/>
  <c r="I63" i="1" s="1"/>
  <c r="F63" i="1"/>
  <c r="H63" i="1" s="1"/>
  <c r="J63" i="1" s="1"/>
  <c r="K63" i="1" s="1"/>
  <c r="J62" i="1"/>
  <c r="K62" i="1" s="1"/>
  <c r="I62" i="1"/>
  <c r="H62" i="1"/>
  <c r="I61" i="1"/>
  <c r="H61" i="1"/>
  <c r="J61" i="1" s="1"/>
  <c r="K61" i="1" s="1"/>
  <c r="I60" i="1"/>
  <c r="H60" i="1"/>
  <c r="J60" i="1" s="1"/>
  <c r="K60" i="1" s="1"/>
  <c r="J59" i="1"/>
  <c r="K59" i="1" s="1"/>
  <c r="I59" i="1"/>
  <c r="H59" i="1"/>
  <c r="I58" i="1"/>
  <c r="H58" i="1"/>
  <c r="J58" i="1" s="1"/>
  <c r="K58" i="1" s="1"/>
  <c r="G57" i="1"/>
  <c r="I57" i="1" s="1"/>
  <c r="F57" i="1"/>
  <c r="H57" i="1" s="1"/>
  <c r="J57" i="1" s="1"/>
  <c r="K57" i="1" s="1"/>
  <c r="I56" i="1"/>
  <c r="J56" i="1" s="1"/>
  <c r="K56" i="1" s="1"/>
  <c r="H56" i="1"/>
  <c r="G55" i="1"/>
  <c r="I55" i="1" s="1"/>
  <c r="F55" i="1"/>
  <c r="H55" i="1" s="1"/>
  <c r="J55" i="1" s="1"/>
  <c r="K55" i="1" s="1"/>
  <c r="H54" i="1"/>
  <c r="G54" i="1"/>
  <c r="I54" i="1" s="1"/>
  <c r="J54" i="1" s="1"/>
  <c r="K54" i="1" s="1"/>
  <c r="F54" i="1"/>
  <c r="I53" i="1"/>
  <c r="H53" i="1"/>
  <c r="J53" i="1" s="1"/>
  <c r="K53" i="1" s="1"/>
  <c r="I52" i="1"/>
  <c r="H52" i="1"/>
  <c r="J52" i="1" s="1"/>
  <c r="K52" i="1" s="1"/>
  <c r="I51" i="1"/>
  <c r="J51" i="1" s="1"/>
  <c r="K51" i="1" s="1"/>
  <c r="H51" i="1"/>
  <c r="G50" i="1"/>
  <c r="I50" i="1" s="1"/>
  <c r="F50" i="1"/>
  <c r="H50" i="1" s="1"/>
  <c r="J50" i="1" s="1"/>
  <c r="K50" i="1" s="1"/>
  <c r="J49" i="1"/>
  <c r="K49" i="1" s="1"/>
  <c r="I49" i="1"/>
  <c r="H49" i="1"/>
  <c r="I48" i="1"/>
  <c r="H48" i="1"/>
  <c r="J48" i="1" s="1"/>
  <c r="K48" i="1" s="1"/>
  <c r="G47" i="1"/>
  <c r="I47" i="1" s="1"/>
  <c r="F47" i="1"/>
  <c r="H47" i="1" s="1"/>
  <c r="J47" i="1" s="1"/>
  <c r="K47" i="1" s="1"/>
  <c r="I46" i="1"/>
  <c r="J46" i="1" s="1"/>
  <c r="K46" i="1" s="1"/>
  <c r="H46" i="1"/>
  <c r="I45" i="1"/>
  <c r="H45" i="1"/>
  <c r="J45" i="1" s="1"/>
  <c r="K45" i="1" s="1"/>
  <c r="I44" i="1"/>
  <c r="H44" i="1"/>
  <c r="J44" i="1" s="1"/>
  <c r="K44" i="1" s="1"/>
  <c r="G43" i="1"/>
  <c r="I43" i="1" s="1"/>
  <c r="F43" i="1"/>
  <c r="H43" i="1" s="1"/>
  <c r="J43" i="1" s="1"/>
  <c r="K43" i="1" s="1"/>
  <c r="I42" i="1"/>
  <c r="H42" i="1"/>
  <c r="J42" i="1" s="1"/>
  <c r="K42" i="1" s="1"/>
  <c r="J41" i="1"/>
  <c r="K41" i="1" s="1"/>
  <c r="I41" i="1"/>
  <c r="H41" i="1"/>
  <c r="I40" i="1"/>
  <c r="G40" i="1"/>
  <c r="F40" i="1"/>
  <c r="H40" i="1" s="1"/>
  <c r="J40" i="1" s="1"/>
  <c r="K40" i="1" s="1"/>
  <c r="I39" i="1"/>
  <c r="H39" i="1"/>
  <c r="J39" i="1" s="1"/>
  <c r="K39" i="1" s="1"/>
  <c r="G39" i="1"/>
  <c r="F39" i="1"/>
  <c r="I38" i="1"/>
  <c r="G38" i="1"/>
  <c r="F38" i="1"/>
  <c r="H38" i="1" s="1"/>
  <c r="J38" i="1" s="1"/>
  <c r="K38" i="1" s="1"/>
  <c r="J37" i="1"/>
  <c r="K37" i="1" s="1"/>
  <c r="J36" i="1"/>
  <c r="K36" i="1" s="1"/>
  <c r="I36" i="1"/>
  <c r="H36" i="1"/>
  <c r="I35" i="1"/>
  <c r="H35" i="1"/>
  <c r="J35" i="1" s="1"/>
  <c r="K35" i="1" s="1"/>
  <c r="I34" i="1"/>
  <c r="H34" i="1"/>
  <c r="J34" i="1" s="1"/>
  <c r="K34" i="1" s="1"/>
  <c r="H33" i="1"/>
  <c r="G33" i="1"/>
  <c r="I33" i="1" s="1"/>
  <c r="J33" i="1" s="1"/>
  <c r="K33" i="1" s="1"/>
  <c r="F33" i="1"/>
  <c r="I32" i="1"/>
  <c r="H32" i="1"/>
  <c r="J32" i="1" s="1"/>
  <c r="K32" i="1" s="1"/>
  <c r="I31" i="1"/>
  <c r="H31" i="1"/>
  <c r="J31" i="1" s="1"/>
  <c r="K31" i="1" s="1"/>
  <c r="G30" i="1"/>
  <c r="I30" i="1" s="1"/>
  <c r="F30" i="1"/>
  <c r="H30" i="1" s="1"/>
  <c r="J30" i="1" s="1"/>
  <c r="K30" i="1" s="1"/>
  <c r="I29" i="1"/>
  <c r="H29" i="1"/>
  <c r="J29" i="1" s="1"/>
  <c r="K29" i="1" s="1"/>
  <c r="J28" i="1"/>
  <c r="K28" i="1" s="1"/>
  <c r="I28" i="1"/>
  <c r="H28" i="1"/>
  <c r="I27" i="1"/>
  <c r="H27" i="1"/>
  <c r="J27" i="1" s="1"/>
  <c r="K27" i="1" s="1"/>
  <c r="I26" i="1"/>
  <c r="H26" i="1"/>
  <c r="J26" i="1" s="1"/>
  <c r="K26" i="1" s="1"/>
  <c r="H25" i="1"/>
  <c r="G25" i="1"/>
  <c r="I25" i="1" s="1"/>
  <c r="J25" i="1" s="1"/>
  <c r="K25" i="1" s="1"/>
  <c r="F25" i="1"/>
  <c r="I24" i="1"/>
  <c r="H24" i="1"/>
  <c r="J24" i="1" s="1"/>
  <c r="K24" i="1" s="1"/>
  <c r="I23" i="1"/>
  <c r="H23" i="1"/>
  <c r="J23" i="1" s="1"/>
  <c r="K23" i="1" s="1"/>
  <c r="G23" i="1"/>
  <c r="F23" i="1"/>
  <c r="I22" i="1"/>
  <c r="H22" i="1"/>
  <c r="J22" i="1" s="1"/>
  <c r="K22" i="1" s="1"/>
  <c r="I21" i="1"/>
  <c r="H21" i="1"/>
  <c r="J21" i="1" s="1"/>
  <c r="K21" i="1" s="1"/>
  <c r="J20" i="1"/>
  <c r="K20" i="1" s="1"/>
  <c r="I20" i="1"/>
  <c r="H20" i="1"/>
  <c r="I19" i="1"/>
  <c r="H19" i="1"/>
  <c r="J19" i="1" s="1"/>
  <c r="K19" i="1" s="1"/>
  <c r="I18" i="1"/>
  <c r="H18" i="1"/>
  <c r="J18" i="1" s="1"/>
  <c r="K18" i="1" s="1"/>
  <c r="H17" i="1"/>
  <c r="G17" i="1"/>
  <c r="I17" i="1" s="1"/>
  <c r="J17" i="1" s="1"/>
  <c r="K17" i="1" s="1"/>
  <c r="F17" i="1"/>
  <c r="I16" i="1"/>
  <c r="H16" i="1"/>
  <c r="J16" i="1" s="1"/>
  <c r="K16" i="1" s="1"/>
  <c r="I15" i="1"/>
  <c r="H15" i="1"/>
  <c r="G15" i="1"/>
  <c r="F15" i="1"/>
  <c r="I14" i="1"/>
  <c r="H14" i="1"/>
  <c r="J14" i="1" s="1"/>
  <c r="K14" i="1" s="1"/>
  <c r="I13" i="1"/>
  <c r="H13" i="1"/>
  <c r="J13" i="1" s="1"/>
  <c r="K13" i="1" s="1"/>
  <c r="J12" i="1"/>
  <c r="I12" i="1"/>
  <c r="H12" i="1"/>
  <c r="I84" i="1" l="1"/>
  <c r="I86" i="1"/>
  <c r="J70" i="1"/>
  <c r="H86" i="1"/>
  <c r="H84" i="1"/>
  <c r="H85" i="1" s="1"/>
  <c r="K12" i="1"/>
  <c r="J15" i="1"/>
  <c r="K15" i="1" s="1"/>
  <c r="J86" i="1" l="1"/>
  <c r="E90" i="1" s="1"/>
  <c r="K70" i="1"/>
  <c r="K86" i="1" s="1"/>
  <c r="J84" i="1"/>
  <c r="K84" i="1"/>
  <c r="K85" i="1" s="1"/>
  <c r="I85" i="1"/>
  <c r="E88" i="1" l="1"/>
  <c r="J85" i="1"/>
  <c r="E89" i="1" s="1"/>
</calcChain>
</file>

<file path=xl/sharedStrings.xml><?xml version="1.0" encoding="utf-8"?>
<sst xmlns="http://schemas.openxmlformats.org/spreadsheetml/2006/main" count="97" uniqueCount="30">
  <si>
    <t>N° de copro</t>
  </si>
  <si>
    <t>Mise en copro</t>
  </si>
  <si>
    <t xml:space="preserve">Fin de contrat </t>
  </si>
  <si>
    <t xml:space="preserve">Type de facturation </t>
  </si>
  <si>
    <t>Logements</t>
  </si>
  <si>
    <t>€ TTC / LP
1er semestre</t>
  </si>
  <si>
    <t>€ TTC / LP
2e semestre</t>
  </si>
  <si>
    <t>€ TTC
1er et 2e
Trimestre</t>
  </si>
  <si>
    <t>€ TTC
3e et 4e
Trimestre</t>
  </si>
  <si>
    <t>Total € TTC</t>
  </si>
  <si>
    <t>Total € HT</t>
  </si>
  <si>
    <t>Classique</t>
  </si>
  <si>
    <t>ASL</t>
  </si>
  <si>
    <t>Forfait</t>
  </si>
  <si>
    <t>Spécifique</t>
  </si>
  <si>
    <t>30/09/2024</t>
  </si>
  <si>
    <t>14/10/2024</t>
  </si>
  <si>
    <t>31/10/2024</t>
  </si>
  <si>
    <t>13/11/2024</t>
  </si>
  <si>
    <t>16/12/2025</t>
  </si>
  <si>
    <t>30/12/2025</t>
  </si>
  <si>
    <t>21/01/2025</t>
  </si>
  <si>
    <t>01/01/2025</t>
  </si>
  <si>
    <t>30/04/2026</t>
  </si>
  <si>
    <t>Total Lot</t>
  </si>
  <si>
    <t>Total Lot Classique</t>
  </si>
  <si>
    <t>Total Lot Forfait</t>
  </si>
  <si>
    <t>Lot / € TTC</t>
  </si>
  <si>
    <t>Lot classique / € TTC</t>
  </si>
  <si>
    <t>Lot Forfait / €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</si>
</sst>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\ &quot;€&quot;"/>
    <numFmt numFmtId="165" formatCode="#,##0.00\ &quot;€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4"/>
      <color theme="1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" fontId="4" fillId="3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16" fontId="5" fillId="2" borderId="4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1" fontId="5" fillId="4" borderId="5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" fontId="5" fillId="5" borderId="4" xfId="0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65" fontId="2" fillId="0" borderId="0" xfId="0" applyNumberFormat="1" applyFont="1"/>
    <xf numFmtId="14" fontId="5" fillId="2" borderId="0" xfId="0" applyNumberFormat="1" applyFont="1" applyFill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6" fontId="5" fillId="2" borderId="5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16" fontId="5" fillId="2" borderId="9" xfId="0" applyNumberFormat="1" applyFont="1" applyFill="1" applyBorder="1" applyAlignment="1">
      <alignment horizontal="center" vertical="center" wrapText="1"/>
    </xf>
    <xf numFmtId="1" fontId="5" fillId="2" borderId="9" xfId="0" applyNumberFormat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49" fontId="8" fillId="2" borderId="4" xfId="1" applyNumberFormat="1" applyFont="1" applyFill="1" applyBorder="1" applyAlignment="1">
      <alignment horizontal="center" vertical="center"/>
    </xf>
    <xf numFmtId="16" fontId="8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165" fontId="8" fillId="0" borderId="5" xfId="0" applyNumberFormat="1" applyFont="1" applyBorder="1" applyAlignment="1">
      <alignment horizontal="center" vertical="center" wrapText="1"/>
    </xf>
    <xf numFmtId="165" fontId="9" fillId="7" borderId="5" xfId="0" applyNumberFormat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4" fontId="10" fillId="8" borderId="5" xfId="0" applyNumberFormat="1" applyFont="1" applyFill="1" applyBorder="1" applyAlignment="1">
      <alignment horizontal="center" vertical="center" wrapText="1"/>
    </xf>
    <xf numFmtId="1" fontId="11" fillId="8" borderId="5" xfId="0" applyNumberFormat="1" applyFont="1" applyFill="1" applyBorder="1" applyAlignment="1">
      <alignment horizontal="center" vertical="center" wrapText="1"/>
    </xf>
    <xf numFmtId="164" fontId="11" fillId="8" borderId="5" xfId="0" applyNumberFormat="1" applyFont="1" applyFill="1" applyBorder="1" applyAlignment="1">
      <alignment horizontal="center" vertical="center" wrapText="1"/>
    </xf>
    <xf numFmtId="14" fontId="10" fillId="9" borderId="5" xfId="0" applyNumberFormat="1" applyFont="1" applyFill="1" applyBorder="1" applyAlignment="1">
      <alignment horizontal="center" vertical="center" wrapText="1"/>
    </xf>
    <xf numFmtId="1" fontId="11" fillId="9" borderId="5" xfId="0" applyNumberFormat="1" applyFont="1" applyFill="1" applyBorder="1" applyAlignment="1">
      <alignment horizontal="center" vertical="center" wrapText="1"/>
    </xf>
    <xf numFmtId="164" fontId="11" fillId="9" borderId="5" xfId="0" applyNumberFormat="1" applyFont="1" applyFill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16" fontId="13" fillId="0" borderId="5" xfId="0" applyNumberFormat="1" applyFont="1" applyBorder="1" applyAlignment="1">
      <alignment horizontal="center" vertical="center" wrapText="1"/>
    </xf>
    <xf numFmtId="1" fontId="14" fillId="8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65" fontId="13" fillId="2" borderId="5" xfId="0" applyNumberFormat="1" applyFont="1" applyFill="1" applyBorder="1" applyAlignment="1">
      <alignment horizontal="center" vertical="center" wrapText="1"/>
    </xf>
    <xf numFmtId="165" fontId="15" fillId="8" borderId="4" xfId="0" applyNumberFormat="1" applyFont="1" applyFill="1" applyBorder="1" applyAlignment="1">
      <alignment horizontal="center" vertical="center" wrapText="1"/>
    </xf>
    <xf numFmtId="165" fontId="15" fillId="8" borderId="5" xfId="0" applyNumberFormat="1" applyFont="1" applyFill="1" applyBorder="1" applyAlignment="1">
      <alignment horizontal="center" vertical="center" wrapText="1"/>
    </xf>
    <xf numFmtId="14" fontId="10" fillId="10" borderId="5" xfId="0" applyNumberFormat="1" applyFont="1" applyFill="1" applyBorder="1" applyAlignment="1">
      <alignment horizontal="center" vertical="center" wrapText="1"/>
    </xf>
    <xf numFmtId="165" fontId="11" fillId="10" borderId="5" xfId="0" applyNumberFormat="1" applyFont="1" applyFill="1" applyBorder="1" applyAlignment="1">
      <alignment horizontal="center" vertical="center" wrapText="1"/>
    </xf>
    <xf numFmtId="14" fontId="10" fillId="11" borderId="5" xfId="0" applyNumberFormat="1" applyFont="1" applyFill="1" applyBorder="1" applyAlignment="1">
      <alignment horizontal="center" vertical="center" wrapText="1"/>
    </xf>
    <xf numFmtId="165" fontId="11" fillId="11" borderId="5" xfId="0" applyNumberFormat="1" applyFont="1" applyFill="1" applyBorder="1" applyAlignment="1">
      <alignment horizontal="center" vertical="center" wrapText="1"/>
    </xf>
    <xf numFmtId="8" fontId="13" fillId="2" borderId="4" xfId="0" applyNumberFormat="1" applyFont="1" applyFill="1" applyBorder="1" applyAlignment="1">
      <alignment horizontal="center" vertical="center" wrapText="1"/>
    </xf>
    <xf numFmtId="14" fontId="13" fillId="2" borderId="4" xfId="0" applyNumberFormat="1" applyFont="1" applyFill="1" applyBorder="1" applyAlignment="1">
      <alignment horizontal="center" vertical="center" wrapText="1"/>
    </xf>
    <xf numFmtId="14" fontId="13" fillId="2" borderId="5" xfId="0" applyNumberFormat="1" applyFont="1" applyFill="1" applyBorder="1" applyAlignment="1">
      <alignment horizontal="center" vertical="center" wrapText="1"/>
    </xf>
    <xf numFmtId="1" fontId="8" fillId="7" borderId="5" xfId="0" applyNumberFormat="1" applyFont="1" applyFill="1" applyBorder="1" applyAlignment="1">
      <alignment horizontal="center" vertical="center" wrapText="1"/>
    </xf>
    <xf numFmtId="1" fontId="10" fillId="8" borderId="5" xfId="0" applyNumberFormat="1" applyFont="1" applyFill="1" applyBorder="1" applyAlignment="1">
      <alignment horizontal="center" vertical="center" wrapText="1"/>
    </xf>
    <xf numFmtId="2" fontId="13" fillId="2" borderId="4" xfId="0" applyNumberFormat="1" applyFont="1" applyFill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3" xfId="1" xr:uid="{D4299B59-111D-4E6B-A9C6-F18EF6699098}"/>
  </cellStyles>
  <dxfs count="104">
    <dxf>
      <font>
        <b val="0"/>
        <strike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4" formatCode="#,##0\ &quot;€&quot;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4" formatCode="#,##0\ &quot;€&quot;"/>
      <fill>
        <patternFill>
          <fgColor indexed="64"/>
          <bgColor theme="0"/>
        </patternFill>
      </fill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4" formatCode="#,##0\ &quot;€&quot;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4" formatCode="#,##0\ &quot;€&quot;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9" formatCode="dd/mm/yyyy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21" formatCode="dd\-mmm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54428</xdr:rowOff>
    </xdr:from>
    <xdr:to>
      <xdr:col>1</xdr:col>
      <xdr:colOff>213220</xdr:colOff>
      <xdr:row>6</xdr:row>
      <xdr:rowOff>151928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75C74B4-7C81-43A2-BC88-B1220A44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8"/>
          <a:ext cx="2384920" cy="1211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F5D9D-E842-468C-AB7D-70E142C98626}" name="Tableau1" displayName="Tableau1" ref="A11:K82" totalsRowShown="0" headerRowDxfId="15" dataDxfId="14" headerRowBorderDxfId="12" tableBorderDxfId="13" totalsRowBorderDxfId="11">
  <autoFilter ref="A11:K82" xr:uid="{0516765B-FA25-440A-B93A-927AB7A92D2C}"/>
  <sortState xmlns:xlrd2="http://schemas.microsoft.com/office/spreadsheetml/2017/richdata2" ref="A12:K81">
    <sortCondition ref="A11:A81"/>
  </sortState>
  <tableColumns count="11">
    <tableColumn id="1" xr3:uid="{30D875C6-0A81-4173-8C32-F2188C37857C}" name="N° de copro" dataDxfId="10" dataCellStyle="Normal 3"/>
    <tableColumn id="2" xr3:uid="{DF0089F9-2747-4110-A7F8-D4715F6C52D1}" name="Mise en copro" dataDxfId="9" dataCellStyle="Normal 3"/>
    <tableColumn id="3" xr3:uid="{A17B8514-4C86-4BC5-9712-AA9578B4C936}" name="Fin de contrat " dataDxfId="8"/>
    <tableColumn id="4" xr3:uid="{E96CC96E-84CA-4527-A806-C83590B7D900}" name="Type de facturation " dataDxfId="7"/>
    <tableColumn id="5" xr3:uid="{67A04467-BF24-4C7D-B569-4B3179D4AC4F}" name="Logements" dataDxfId="6"/>
    <tableColumn id="6" xr3:uid="{B2EEA698-E12E-4FB6-8C56-F4EAE639AF8C}" name="€ TTC / LP_x000a_1er semestre" dataDxfId="5"/>
    <tableColumn id="7" xr3:uid="{9BD67AED-33D0-47BD-8378-7936901F6E18}" name="€ TTC / LP_x000a_2e semestre" dataDxfId="4"/>
    <tableColumn id="8" xr3:uid="{B5E8A336-9DC6-4C92-8048-ACDF15DBE2F1}" name="€ TTC_x000a_1er et 2e_x000a_Trimestre" dataDxfId="3">
      <calculatedColumnFormula>Tableau1[[#This Row],[€ TTC / LP
1er semestre]]*Tableau1[[#This Row],[Logements]]/4</calculatedColumnFormula>
    </tableColumn>
    <tableColumn id="9" xr3:uid="{B36F8B05-A4B5-4986-A18B-3423C3D09153}" name="€ TTC_x000a_3e et 4e_x000a_Trimestre" dataDxfId="2">
      <calculatedColumnFormula>Tableau1[[#This Row],[€ TTC / LP
2e semestre]]*Tableau1[[#This Row],[Logements]]/4</calculatedColumnFormula>
    </tableColumn>
    <tableColumn id="10" xr3:uid="{FBC4E5C4-8AE3-4A59-9781-57EB53A35B72}" name="Total € TTC" dataDxfId="1">
      <calculatedColumnFormula>Tableau1[[#This Row],[€ TTC
1er et 2e
Trimestre]]*2+Tableau1[[#This Row],[€ TTC
3e et 4e
Trimestre]]*2</calculatedColumnFormula>
    </tableColumn>
    <tableColumn id="11" xr3:uid="{6F9953CD-3933-46F5-9D7F-68F5D9DF64D8}" name="Total € HT" dataDxfId="0">
      <calculatedColumnFormula>Tableau1[[#This Row],[Total € TTC]]/1.2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9768-0802-47B5-AE7F-B3413A23FCE5}">
  <sheetPr>
    <pageSetUpPr fitToPage="1"/>
  </sheetPr>
  <dimension ref="A2:L92"/>
  <sheetViews>
    <sheetView showGridLines="0" tabSelected="1" topLeftCell="A50" zoomScale="70" zoomScaleNormal="70" workbookViewId="0">
      <selection activeCell="E88" sqref="E88"/>
    </sheetView>
  </sheetViews>
  <sheetFormatPr baseColWidth="10" defaultColWidth="11.42578125" defaultRowHeight="14.25" x14ac:dyDescent="0.2"/>
  <cols>
    <col min="1" max="1" width="32.5703125" style="1" bestFit="1" customWidth="1"/>
    <col min="2" max="2" width="26" style="1" bestFit="1" customWidth="1"/>
    <col min="3" max="3" width="25.85546875" style="1" bestFit="1" customWidth="1"/>
    <col min="4" max="4" width="33.42578125" style="1" bestFit="1" customWidth="1"/>
    <col min="5" max="5" width="22.140625" style="1" bestFit="1" customWidth="1"/>
    <col min="6" max="6" width="24.42578125" style="1" bestFit="1" customWidth="1"/>
    <col min="7" max="7" width="23.42578125" style="1" bestFit="1" customWidth="1"/>
    <col min="8" max="9" width="20.140625" style="1" bestFit="1" customWidth="1"/>
    <col min="10" max="10" width="22.5703125" style="1" bestFit="1" customWidth="1"/>
    <col min="11" max="11" width="21" style="1" bestFit="1" customWidth="1"/>
    <col min="12" max="12" width="13" style="1" bestFit="1" customWidth="1"/>
    <col min="13" max="16384" width="11.42578125" style="1"/>
  </cols>
  <sheetData>
    <row r="2" spans="1:12" ht="15" customHeight="1" x14ac:dyDescent="0.2"/>
    <row r="3" spans="1:12" ht="15" customHeight="1" x14ac:dyDescent="0.4">
      <c r="B3" s="2"/>
      <c r="C3" s="2"/>
      <c r="D3" s="2"/>
      <c r="E3" s="2"/>
      <c r="F3" s="2"/>
      <c r="G3" s="2"/>
      <c r="H3" s="2"/>
      <c r="I3" s="2"/>
      <c r="J3" s="2"/>
      <c r="K3" s="3"/>
    </row>
    <row r="4" spans="1:12" ht="15" customHeight="1" x14ac:dyDescent="0.4">
      <c r="B4" s="2"/>
      <c r="C4" s="2"/>
      <c r="D4" s="2"/>
      <c r="E4" s="2"/>
      <c r="F4" s="2"/>
      <c r="G4" s="2"/>
      <c r="H4" s="2"/>
      <c r="I4" s="2"/>
      <c r="J4" s="2"/>
      <c r="K4" s="3"/>
    </row>
    <row r="5" spans="1:12" ht="14.25" customHeight="1" x14ac:dyDescent="0.4">
      <c r="B5" s="2"/>
      <c r="C5" s="2"/>
      <c r="D5" s="2"/>
      <c r="E5" s="2"/>
      <c r="F5" s="2"/>
      <c r="G5" s="2"/>
      <c r="H5" s="2"/>
      <c r="I5" s="2"/>
      <c r="J5" s="2"/>
      <c r="K5" s="3"/>
    </row>
    <row r="6" spans="1:12" ht="14.25" customHeight="1" x14ac:dyDescent="0.2"/>
    <row r="7" spans="1:12" ht="14.25" customHeight="1" x14ac:dyDescent="0.2">
      <c r="B7" s="4"/>
      <c r="C7" s="4"/>
      <c r="D7" s="4"/>
      <c r="E7" s="4"/>
      <c r="F7" s="4"/>
      <c r="G7" s="4"/>
      <c r="H7" s="4"/>
      <c r="I7" s="4"/>
      <c r="J7" s="4"/>
      <c r="K7" s="4"/>
    </row>
    <row r="8" spans="1:12" s="5" customFormat="1" ht="14.25" customHeight="1" x14ac:dyDescent="0.25"/>
    <row r="9" spans="1:12" s="5" customFormat="1" ht="14.25" customHeight="1" x14ac:dyDescent="0.25">
      <c r="A9" s="6"/>
    </row>
    <row r="11" spans="1:12" ht="54" x14ac:dyDescent="0.2">
      <c r="A11" s="7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9" t="s">
        <v>9</v>
      </c>
      <c r="K11" s="9" t="s">
        <v>10</v>
      </c>
    </row>
    <row r="12" spans="1:12" ht="20.100000000000001" customHeight="1" x14ac:dyDescent="0.2">
      <c r="A12" s="10">
        <v>1</v>
      </c>
      <c r="B12" s="11">
        <v>44322</v>
      </c>
      <c r="C12" s="12">
        <v>45107</v>
      </c>
      <c r="D12" s="13" t="s">
        <v>11</v>
      </c>
      <c r="E12" s="14">
        <v>32</v>
      </c>
      <c r="F12" s="15">
        <v>162</v>
      </c>
      <c r="G12" s="15">
        <v>168</v>
      </c>
      <c r="H12" s="16">
        <f>Tableau1[[#This Row],[€ TTC / LP
1er semestre]]*Tableau1[[#This Row],[Logements]]/4</f>
        <v>1296</v>
      </c>
      <c r="I12" s="16">
        <f>Tableau1[[#This Row],[€ TTC / LP
2e semestre]]*Tableau1[[#This Row],[Logements]]/4</f>
        <v>1344</v>
      </c>
      <c r="J12" s="17">
        <f>Tableau1[[#This Row],[€ TTC
1er et 2e
Trimestre]]*2+Tableau1[[#This Row],[€ TTC
3e et 4e
Trimestre]]*2</f>
        <v>5280</v>
      </c>
      <c r="K12" s="16">
        <f>Tableau1[[#This Row],[Total € TTC]]/1.2</f>
        <v>4400</v>
      </c>
      <c r="L12" s="18"/>
    </row>
    <row r="13" spans="1:12" ht="20.100000000000001" customHeight="1" x14ac:dyDescent="0.2">
      <c r="A13" s="10">
        <v>2</v>
      </c>
      <c r="B13" s="11">
        <v>44287</v>
      </c>
      <c r="C13" s="12">
        <v>45107</v>
      </c>
      <c r="D13" s="13" t="s">
        <v>11</v>
      </c>
      <c r="E13" s="14">
        <v>36</v>
      </c>
      <c r="F13" s="15">
        <v>162</v>
      </c>
      <c r="G13" s="15">
        <v>168</v>
      </c>
      <c r="H13" s="16">
        <f>Tableau1[[#This Row],[€ TTC / LP
1er semestre]]*Tableau1[[#This Row],[Logements]]/4</f>
        <v>1458</v>
      </c>
      <c r="I13" s="16">
        <f>Tableau1[[#This Row],[€ TTC / LP
2e semestre]]*Tableau1[[#This Row],[Logements]]/4</f>
        <v>1512</v>
      </c>
      <c r="J13" s="17">
        <f>Tableau1[[#This Row],[€ TTC
1er et 2e
Trimestre]]*2+Tableau1[[#This Row],[€ TTC
3e et 4e
Trimestre]]*2</f>
        <v>5940</v>
      </c>
      <c r="K13" s="16">
        <f>Tableau1[[#This Row],[Total € TTC]]/1.2</f>
        <v>4950</v>
      </c>
      <c r="L13" s="18"/>
    </row>
    <row r="14" spans="1:12" ht="20.100000000000001" customHeight="1" x14ac:dyDescent="0.2">
      <c r="A14" s="10">
        <v>3</v>
      </c>
      <c r="B14" s="11">
        <v>44672</v>
      </c>
      <c r="C14" s="12">
        <v>45107</v>
      </c>
      <c r="D14" s="13" t="s">
        <v>11</v>
      </c>
      <c r="E14" s="14">
        <v>33</v>
      </c>
      <c r="F14" s="15">
        <v>162</v>
      </c>
      <c r="G14" s="15">
        <v>168</v>
      </c>
      <c r="H14" s="16">
        <f>Tableau1[[#This Row],[€ TTC / LP
1er semestre]]*Tableau1[[#This Row],[Logements]]/4</f>
        <v>1336.5</v>
      </c>
      <c r="I14" s="16">
        <f>Tableau1[[#This Row],[€ TTC / LP
2e semestre]]*Tableau1[[#This Row],[Logements]]/4</f>
        <v>1386</v>
      </c>
      <c r="J14" s="17">
        <f>Tableau1[[#This Row],[€ TTC
1er et 2e
Trimestre]]*2+Tableau1[[#This Row],[€ TTC
3e et 4e
Trimestre]]*2</f>
        <v>5445</v>
      </c>
      <c r="K14" s="16">
        <f>Tableau1[[#This Row],[Total € TTC]]/1.2</f>
        <v>4537.5</v>
      </c>
      <c r="L14" s="18"/>
    </row>
    <row r="15" spans="1:12" ht="20.100000000000001" customHeight="1" x14ac:dyDescent="0.2">
      <c r="A15" s="10">
        <v>4</v>
      </c>
      <c r="B15" s="11">
        <v>45839</v>
      </c>
      <c r="C15" s="12">
        <v>45473</v>
      </c>
      <c r="D15" s="19" t="s">
        <v>12</v>
      </c>
      <c r="E15" s="14">
        <v>12</v>
      </c>
      <c r="F15" s="15">
        <f>540/Tableau1[[#This Row],[Logements]]</f>
        <v>45</v>
      </c>
      <c r="G15" s="15">
        <f>540/Tableau1[[#This Row],[Logements]]</f>
        <v>45</v>
      </c>
      <c r="H15" s="16">
        <f>Tableau1[[#This Row],[€ TTC / LP
1er semestre]]*Tableau1[[#This Row],[Logements]]/4</f>
        <v>135</v>
      </c>
      <c r="I15" s="16">
        <f>Tableau1[[#This Row],[€ TTC / LP
2e semestre]]*Tableau1[[#This Row],[Logements]]/4</f>
        <v>135</v>
      </c>
      <c r="J15" s="17">
        <f>Tableau1[[#This Row],[€ TTC
1er et 2e
Trimestre]]*2+Tableau1[[#This Row],[€ TTC
3e et 4e
Trimestre]]*2</f>
        <v>540</v>
      </c>
      <c r="K15" s="16">
        <f>Tableau1[[#This Row],[Total € TTC]]/1.2</f>
        <v>450</v>
      </c>
      <c r="L15" s="18"/>
    </row>
    <row r="16" spans="1:12" ht="20.100000000000001" customHeight="1" x14ac:dyDescent="0.2">
      <c r="A16" s="10">
        <v>5</v>
      </c>
      <c r="B16" s="11">
        <v>44377</v>
      </c>
      <c r="C16" s="12">
        <v>45107</v>
      </c>
      <c r="D16" s="13" t="s">
        <v>11</v>
      </c>
      <c r="E16" s="14">
        <v>10</v>
      </c>
      <c r="F16" s="15">
        <v>162</v>
      </c>
      <c r="G16" s="15">
        <v>168</v>
      </c>
      <c r="H16" s="16">
        <f>Tableau1[[#This Row],[€ TTC / LP
1er semestre]]*Tableau1[[#This Row],[Logements]]/4</f>
        <v>405</v>
      </c>
      <c r="I16" s="16">
        <f>Tableau1[[#This Row],[€ TTC / LP
2e semestre]]*Tableau1[[#This Row],[Logements]]/4</f>
        <v>420</v>
      </c>
      <c r="J16" s="17">
        <f>Tableau1[[#This Row],[€ TTC
1er et 2e
Trimestre]]*2+Tableau1[[#This Row],[€ TTC
3e et 4e
Trimestre]]*2</f>
        <v>1650</v>
      </c>
      <c r="K16" s="16">
        <f>Tableau1[[#This Row],[Total € TTC]]/1.2</f>
        <v>1375</v>
      </c>
      <c r="L16" s="18"/>
    </row>
    <row r="17" spans="1:12" ht="20.100000000000001" customHeight="1" x14ac:dyDescent="0.2">
      <c r="A17" s="20">
        <v>6</v>
      </c>
      <c r="B17" s="11">
        <v>44426</v>
      </c>
      <c r="C17" s="12">
        <v>45107</v>
      </c>
      <c r="D17" s="21" t="s">
        <v>13</v>
      </c>
      <c r="E17" s="15">
        <v>6</v>
      </c>
      <c r="F17" s="15">
        <f>1200/Tableau1[[#This Row],[Logements]]</f>
        <v>200</v>
      </c>
      <c r="G17" s="15">
        <f>1200/Tableau1[[#This Row],[Logements]]</f>
        <v>200</v>
      </c>
      <c r="H17" s="16">
        <f>Tableau1[[#This Row],[€ TTC / LP
1er semestre]]*Tableau1[[#This Row],[Logements]]/4</f>
        <v>300</v>
      </c>
      <c r="I17" s="16">
        <f>Tableau1[[#This Row],[€ TTC / LP
2e semestre]]*Tableau1[[#This Row],[Logements]]/4</f>
        <v>300</v>
      </c>
      <c r="J17" s="17">
        <f>Tableau1[[#This Row],[€ TTC
1er et 2e
Trimestre]]*2+Tableau1[[#This Row],[€ TTC
3e et 4e
Trimestre]]*2</f>
        <v>1200</v>
      </c>
      <c r="K17" s="16">
        <f>Tableau1[[#This Row],[Total € TTC]]/1.2</f>
        <v>1000</v>
      </c>
      <c r="L17" s="18"/>
    </row>
    <row r="18" spans="1:12" ht="20.100000000000001" customHeight="1" x14ac:dyDescent="0.2">
      <c r="A18" s="20">
        <v>7</v>
      </c>
      <c r="B18" s="11">
        <v>44644</v>
      </c>
      <c r="C18" s="12">
        <v>45107</v>
      </c>
      <c r="D18" s="13" t="s">
        <v>11</v>
      </c>
      <c r="E18" s="15">
        <v>30</v>
      </c>
      <c r="F18" s="15">
        <v>162</v>
      </c>
      <c r="G18" s="15">
        <v>168</v>
      </c>
      <c r="H18" s="16">
        <f>Tableau1[[#This Row],[€ TTC / LP
1er semestre]]*Tableau1[[#This Row],[Logements]]/4</f>
        <v>1215</v>
      </c>
      <c r="I18" s="16">
        <f>Tableau1[[#This Row],[€ TTC / LP
2e semestre]]*Tableau1[[#This Row],[Logements]]/4</f>
        <v>1260</v>
      </c>
      <c r="J18" s="17">
        <f>Tableau1[[#This Row],[€ TTC
1er et 2e
Trimestre]]*2+Tableau1[[#This Row],[€ TTC
3e et 4e
Trimestre]]*2</f>
        <v>4950</v>
      </c>
      <c r="K18" s="16">
        <f>Tableau1[[#This Row],[Total € TTC]]/1.2</f>
        <v>4125</v>
      </c>
      <c r="L18" s="18"/>
    </row>
    <row r="19" spans="1:12" ht="20.100000000000001" customHeight="1" x14ac:dyDescent="0.2">
      <c r="A19" s="20">
        <v>8</v>
      </c>
      <c r="B19" s="11">
        <v>44551</v>
      </c>
      <c r="C19" s="12">
        <v>45107</v>
      </c>
      <c r="D19" s="13" t="s">
        <v>11</v>
      </c>
      <c r="E19" s="15">
        <v>15</v>
      </c>
      <c r="F19" s="15">
        <v>162</v>
      </c>
      <c r="G19" s="15">
        <v>168</v>
      </c>
      <c r="H19" s="16">
        <f>Tableau1[[#This Row],[€ TTC / LP
1er semestre]]*Tableau1[[#This Row],[Logements]]/4</f>
        <v>607.5</v>
      </c>
      <c r="I19" s="16">
        <f>Tableau1[[#This Row],[€ TTC / LP
2e semestre]]*Tableau1[[#This Row],[Logements]]/4</f>
        <v>630</v>
      </c>
      <c r="J19" s="17">
        <f>Tableau1[[#This Row],[€ TTC
1er et 2e
Trimestre]]*2+Tableau1[[#This Row],[€ TTC
3e et 4e
Trimestre]]*2</f>
        <v>2475</v>
      </c>
      <c r="K19" s="16">
        <f>Tableau1[[#This Row],[Total € TTC]]/1.2</f>
        <v>2062.5</v>
      </c>
      <c r="L19" s="18"/>
    </row>
    <row r="20" spans="1:12" ht="20.100000000000001" customHeight="1" x14ac:dyDescent="0.2">
      <c r="A20" s="20">
        <v>9</v>
      </c>
      <c r="B20" s="11">
        <v>44694</v>
      </c>
      <c r="C20" s="12">
        <v>45107</v>
      </c>
      <c r="D20" s="13" t="s">
        <v>11</v>
      </c>
      <c r="E20" s="15">
        <v>17</v>
      </c>
      <c r="F20" s="15">
        <v>162</v>
      </c>
      <c r="G20" s="15">
        <v>168</v>
      </c>
      <c r="H20" s="16">
        <f>Tableau1[[#This Row],[€ TTC / LP
1er semestre]]*Tableau1[[#This Row],[Logements]]/4</f>
        <v>688.5</v>
      </c>
      <c r="I20" s="16">
        <f>Tableau1[[#This Row],[€ TTC / LP
2e semestre]]*Tableau1[[#This Row],[Logements]]/4</f>
        <v>714</v>
      </c>
      <c r="J20" s="17">
        <f>Tableau1[[#This Row],[€ TTC
1er et 2e
Trimestre]]*2+Tableau1[[#This Row],[€ TTC
3e et 4e
Trimestre]]*2</f>
        <v>2805</v>
      </c>
      <c r="K20" s="16">
        <f>Tableau1[[#This Row],[Total € TTC]]/1.2</f>
        <v>2337.5</v>
      </c>
      <c r="L20" s="18"/>
    </row>
    <row r="21" spans="1:12" ht="20.100000000000001" customHeight="1" x14ac:dyDescent="0.2">
      <c r="A21" s="22">
        <v>10</v>
      </c>
      <c r="B21" s="11">
        <v>44680</v>
      </c>
      <c r="C21" s="23">
        <v>45291</v>
      </c>
      <c r="D21" s="13" t="s">
        <v>11</v>
      </c>
      <c r="E21" s="15">
        <v>14</v>
      </c>
      <c r="F21" s="15">
        <v>168</v>
      </c>
      <c r="G21" s="15">
        <v>168</v>
      </c>
      <c r="H21" s="16">
        <f>Tableau1[[#This Row],[€ TTC / LP
1er semestre]]*Tableau1[[#This Row],[Logements]]/4</f>
        <v>588</v>
      </c>
      <c r="I21" s="16">
        <f>Tableau1[[#This Row],[€ TTC / LP
2e semestre]]*Tableau1[[#This Row],[Logements]]/4</f>
        <v>588</v>
      </c>
      <c r="J21" s="17">
        <f>Tableau1[[#This Row],[€ TTC
1er et 2e
Trimestre]]*2+Tableau1[[#This Row],[€ TTC
3e et 4e
Trimestre]]*2</f>
        <v>2352</v>
      </c>
      <c r="K21" s="16">
        <f>Tableau1[[#This Row],[Total € TTC]]/1.2</f>
        <v>1960</v>
      </c>
      <c r="L21" s="18"/>
    </row>
    <row r="22" spans="1:12" ht="20.100000000000001" customHeight="1" x14ac:dyDescent="0.2">
      <c r="A22" s="20">
        <v>11</v>
      </c>
      <c r="B22" s="11">
        <v>44719</v>
      </c>
      <c r="C22" s="12">
        <v>45107</v>
      </c>
      <c r="D22" s="13" t="s">
        <v>11</v>
      </c>
      <c r="E22" s="15">
        <v>20</v>
      </c>
      <c r="F22" s="15">
        <v>162</v>
      </c>
      <c r="G22" s="15">
        <v>168</v>
      </c>
      <c r="H22" s="16">
        <f>Tableau1[[#This Row],[€ TTC / LP
1er semestre]]*Tableau1[[#This Row],[Logements]]/4</f>
        <v>810</v>
      </c>
      <c r="I22" s="16">
        <f>Tableau1[[#This Row],[€ TTC / LP
2e semestre]]*Tableau1[[#This Row],[Logements]]/4</f>
        <v>840</v>
      </c>
      <c r="J22" s="17">
        <f>Tableau1[[#This Row],[€ TTC
1er et 2e
Trimestre]]*2+Tableau1[[#This Row],[€ TTC
3e et 4e
Trimestre]]*2</f>
        <v>3300</v>
      </c>
      <c r="K22" s="16">
        <f>Tableau1[[#This Row],[Total € TTC]]/1.2</f>
        <v>2750</v>
      </c>
      <c r="L22" s="18"/>
    </row>
    <row r="23" spans="1:12" ht="20.100000000000001" customHeight="1" x14ac:dyDescent="0.2">
      <c r="A23" s="24">
        <v>12</v>
      </c>
      <c r="B23" s="11">
        <v>44763</v>
      </c>
      <c r="C23" s="23">
        <v>45291</v>
      </c>
      <c r="D23" s="21" t="s">
        <v>13</v>
      </c>
      <c r="E23" s="15">
        <v>6</v>
      </c>
      <c r="F23" s="15">
        <f>1200/Tableau1[[#This Row],[Logements]]</f>
        <v>200</v>
      </c>
      <c r="G23" s="15">
        <f>1200/Tableau1[[#This Row],[Logements]]</f>
        <v>200</v>
      </c>
      <c r="H23" s="16">
        <f>Tableau1[[#This Row],[€ TTC / LP
1er semestre]]*Tableau1[[#This Row],[Logements]]/4</f>
        <v>300</v>
      </c>
      <c r="I23" s="16">
        <f>Tableau1[[#This Row],[€ TTC / LP
2e semestre]]*Tableau1[[#This Row],[Logements]]/4</f>
        <v>300</v>
      </c>
      <c r="J23" s="17">
        <f>Tableau1[[#This Row],[€ TTC
1er et 2e
Trimestre]]*2+Tableau1[[#This Row],[€ TTC
3e et 4e
Trimestre]]*2</f>
        <v>1200</v>
      </c>
      <c r="K23" s="16">
        <f>Tableau1[[#This Row],[Total € TTC]]/1.2</f>
        <v>1000</v>
      </c>
      <c r="L23" s="18"/>
    </row>
    <row r="24" spans="1:12" ht="20.100000000000001" customHeight="1" x14ac:dyDescent="0.2">
      <c r="A24" s="20">
        <v>13</v>
      </c>
      <c r="B24" s="11">
        <v>44802</v>
      </c>
      <c r="C24" s="12">
        <v>45107</v>
      </c>
      <c r="D24" s="13" t="s">
        <v>11</v>
      </c>
      <c r="E24" s="15">
        <v>15</v>
      </c>
      <c r="F24" s="15">
        <v>162</v>
      </c>
      <c r="G24" s="15">
        <v>168</v>
      </c>
      <c r="H24" s="16">
        <f>Tableau1[[#This Row],[€ TTC / LP
1er semestre]]*Tableau1[[#This Row],[Logements]]/4</f>
        <v>607.5</v>
      </c>
      <c r="I24" s="16">
        <f>Tableau1[[#This Row],[€ TTC / LP
2e semestre]]*Tableau1[[#This Row],[Logements]]/4</f>
        <v>630</v>
      </c>
      <c r="J24" s="17">
        <f>Tableau1[[#This Row],[€ TTC
1er et 2e
Trimestre]]*2+Tableau1[[#This Row],[€ TTC
3e et 4e
Trimestre]]*2</f>
        <v>2475</v>
      </c>
      <c r="K24" s="16">
        <f>Tableau1[[#This Row],[Total € TTC]]/1.2</f>
        <v>2062.5</v>
      </c>
      <c r="L24" s="18"/>
    </row>
    <row r="25" spans="1:12" ht="20.100000000000001" customHeight="1" x14ac:dyDescent="0.2">
      <c r="A25" s="24">
        <v>14</v>
      </c>
      <c r="B25" s="11">
        <v>44806</v>
      </c>
      <c r="C25" s="23">
        <v>45291</v>
      </c>
      <c r="D25" s="21" t="s">
        <v>13</v>
      </c>
      <c r="E25" s="15">
        <v>4</v>
      </c>
      <c r="F25" s="15">
        <f>1200/Tableau1[[#This Row],[Logements]]</f>
        <v>300</v>
      </c>
      <c r="G25" s="15">
        <f>1200/Tableau1[[#This Row],[Logements]]</f>
        <v>300</v>
      </c>
      <c r="H25" s="16">
        <f>Tableau1[[#This Row],[€ TTC / LP
1er semestre]]*Tableau1[[#This Row],[Logements]]/4</f>
        <v>300</v>
      </c>
      <c r="I25" s="16">
        <f>Tableau1[[#This Row],[€ TTC / LP
2e semestre]]*Tableau1[[#This Row],[Logements]]/4</f>
        <v>300</v>
      </c>
      <c r="J25" s="17">
        <f>Tableau1[[#This Row],[€ TTC
1er et 2e
Trimestre]]*2+Tableau1[[#This Row],[€ TTC
3e et 4e
Trimestre]]*2</f>
        <v>1200</v>
      </c>
      <c r="K25" s="16">
        <f>Tableau1[[#This Row],[Total € TTC]]/1.2</f>
        <v>1000</v>
      </c>
      <c r="L25" s="18"/>
    </row>
    <row r="26" spans="1:12" ht="20.100000000000001" customHeight="1" x14ac:dyDescent="0.2">
      <c r="A26" s="20">
        <v>15</v>
      </c>
      <c r="B26" s="11">
        <v>44811</v>
      </c>
      <c r="C26" s="12">
        <v>45107</v>
      </c>
      <c r="D26" s="13" t="s">
        <v>11</v>
      </c>
      <c r="E26" s="15">
        <v>20</v>
      </c>
      <c r="F26" s="15">
        <v>162</v>
      </c>
      <c r="G26" s="15">
        <v>168</v>
      </c>
      <c r="H26" s="16">
        <f>Tableau1[[#This Row],[€ TTC / LP
1er semestre]]*Tableau1[[#This Row],[Logements]]/4</f>
        <v>810</v>
      </c>
      <c r="I26" s="16">
        <f>Tableau1[[#This Row],[€ TTC / LP
2e semestre]]*Tableau1[[#This Row],[Logements]]/4</f>
        <v>840</v>
      </c>
      <c r="J26" s="17">
        <f>Tableau1[[#This Row],[€ TTC
1er et 2e
Trimestre]]*2+Tableau1[[#This Row],[€ TTC
3e et 4e
Trimestre]]*2</f>
        <v>3300</v>
      </c>
      <c r="K26" s="16">
        <f>Tableau1[[#This Row],[Total € TTC]]/1.2</f>
        <v>2750</v>
      </c>
      <c r="L26" s="18"/>
    </row>
    <row r="27" spans="1:12" ht="20.100000000000001" customHeight="1" x14ac:dyDescent="0.2">
      <c r="A27" s="20">
        <v>16</v>
      </c>
      <c r="B27" s="11">
        <v>44881</v>
      </c>
      <c r="C27" s="12">
        <v>45107</v>
      </c>
      <c r="D27" s="13" t="s">
        <v>11</v>
      </c>
      <c r="E27" s="15">
        <v>38</v>
      </c>
      <c r="F27" s="15">
        <v>162</v>
      </c>
      <c r="G27" s="15">
        <v>168</v>
      </c>
      <c r="H27" s="16">
        <f>Tableau1[[#This Row],[€ TTC / LP
1er semestre]]*Tableau1[[#This Row],[Logements]]/4</f>
        <v>1539</v>
      </c>
      <c r="I27" s="16">
        <f>Tableau1[[#This Row],[€ TTC / LP
2e semestre]]*Tableau1[[#This Row],[Logements]]/4</f>
        <v>1596</v>
      </c>
      <c r="J27" s="17">
        <f>Tableau1[[#This Row],[€ TTC
1er et 2e
Trimestre]]*2+Tableau1[[#This Row],[€ TTC
3e et 4e
Trimestre]]*2</f>
        <v>6270</v>
      </c>
      <c r="K27" s="16">
        <f>Tableau1[[#This Row],[Total € TTC]]/1.2</f>
        <v>5225</v>
      </c>
    </row>
    <row r="28" spans="1:12" ht="20.100000000000001" customHeight="1" x14ac:dyDescent="0.2">
      <c r="A28" s="10">
        <v>17</v>
      </c>
      <c r="B28" s="11">
        <v>44981</v>
      </c>
      <c r="C28" s="12">
        <v>45107</v>
      </c>
      <c r="D28" s="13" t="s">
        <v>11</v>
      </c>
      <c r="E28" s="14">
        <v>10</v>
      </c>
      <c r="F28" s="15">
        <v>162</v>
      </c>
      <c r="G28" s="15">
        <v>168</v>
      </c>
      <c r="H28" s="16">
        <f>Tableau1[[#This Row],[€ TTC / LP
1er semestre]]*Tableau1[[#This Row],[Logements]]/4</f>
        <v>405</v>
      </c>
      <c r="I28" s="16">
        <f>Tableau1[[#This Row],[€ TTC / LP
2e semestre]]*Tableau1[[#This Row],[Logements]]/4</f>
        <v>420</v>
      </c>
      <c r="J28" s="17">
        <f>Tableau1[[#This Row],[€ TTC
1er et 2e
Trimestre]]*2+Tableau1[[#This Row],[€ TTC
3e et 4e
Trimestre]]*2</f>
        <v>1650</v>
      </c>
      <c r="K28" s="16">
        <f>Tableau1[[#This Row],[Total € TTC]]/1.2</f>
        <v>1375</v>
      </c>
      <c r="L28" s="25"/>
    </row>
    <row r="29" spans="1:12" ht="20.100000000000001" customHeight="1" x14ac:dyDescent="0.2">
      <c r="A29" s="24">
        <v>18</v>
      </c>
      <c r="B29" s="26">
        <v>44988</v>
      </c>
      <c r="C29" s="23">
        <v>45291</v>
      </c>
      <c r="D29" s="13" t="s">
        <v>11</v>
      </c>
      <c r="E29" s="15">
        <v>9</v>
      </c>
      <c r="F29" s="15">
        <v>168</v>
      </c>
      <c r="G29" s="15">
        <v>168</v>
      </c>
      <c r="H29" s="16">
        <f>Tableau1[[#This Row],[€ TTC / LP
1er semestre]]*Tableau1[[#This Row],[Logements]]/4</f>
        <v>378</v>
      </c>
      <c r="I29" s="16">
        <f>Tableau1[[#This Row],[€ TTC / LP
2e semestre]]*Tableau1[[#This Row],[Logements]]/4</f>
        <v>378</v>
      </c>
      <c r="J29" s="17">
        <f>Tableau1[[#This Row],[€ TTC
1er et 2e
Trimestre]]*2+Tableau1[[#This Row],[€ TTC
3e et 4e
Trimestre]]*2</f>
        <v>1512</v>
      </c>
      <c r="K29" s="16">
        <f>Tableau1[[#This Row],[Total € TTC]]/1.2</f>
        <v>1260</v>
      </c>
      <c r="L29" s="25"/>
    </row>
    <row r="30" spans="1:12" ht="20.100000000000001" customHeight="1" x14ac:dyDescent="0.2">
      <c r="A30" s="24">
        <v>19</v>
      </c>
      <c r="B30" s="11">
        <v>44995</v>
      </c>
      <c r="C30" s="23">
        <v>45291</v>
      </c>
      <c r="D30" s="21" t="s">
        <v>13</v>
      </c>
      <c r="E30" s="15">
        <v>2</v>
      </c>
      <c r="F30" s="15">
        <f>1200/Tableau1[[#This Row],[Logements]]</f>
        <v>600</v>
      </c>
      <c r="G30" s="15">
        <f>1200/Tableau1[[#This Row],[Logements]]</f>
        <v>600</v>
      </c>
      <c r="H30" s="16">
        <f>Tableau1[[#This Row],[€ TTC / LP
1er semestre]]*Tableau1[[#This Row],[Logements]]/4</f>
        <v>300</v>
      </c>
      <c r="I30" s="16">
        <f>Tableau1[[#This Row],[€ TTC / LP
2e semestre]]*Tableau1[[#This Row],[Logements]]/4</f>
        <v>300</v>
      </c>
      <c r="J30" s="17">
        <f>Tableau1[[#This Row],[€ TTC
1er et 2e
Trimestre]]*2+Tableau1[[#This Row],[€ TTC
3e et 4e
Trimestre]]*2</f>
        <v>1200</v>
      </c>
      <c r="K30" s="16">
        <f>Tableau1[[#This Row],[Total € TTC]]/1.2</f>
        <v>1000</v>
      </c>
      <c r="L30" s="25"/>
    </row>
    <row r="31" spans="1:12" ht="20.100000000000001" customHeight="1" x14ac:dyDescent="0.2">
      <c r="A31" s="10">
        <v>20</v>
      </c>
      <c r="B31" s="11">
        <v>45089</v>
      </c>
      <c r="C31" s="12">
        <v>45107</v>
      </c>
      <c r="D31" s="13" t="s">
        <v>11</v>
      </c>
      <c r="E31" s="14">
        <v>17</v>
      </c>
      <c r="F31" s="15">
        <v>162</v>
      </c>
      <c r="G31" s="15">
        <v>168</v>
      </c>
      <c r="H31" s="16">
        <f>Tableau1[[#This Row],[€ TTC / LP
1er semestre]]*Tableau1[[#This Row],[Logements]]/4</f>
        <v>688.5</v>
      </c>
      <c r="I31" s="16">
        <f>Tableau1[[#This Row],[€ TTC / LP
2e semestre]]*Tableau1[[#This Row],[Logements]]/4</f>
        <v>714</v>
      </c>
      <c r="J31" s="17">
        <f>Tableau1[[#This Row],[€ TTC
1er et 2e
Trimestre]]*2+Tableau1[[#This Row],[€ TTC
3e et 4e
Trimestre]]*2</f>
        <v>2805</v>
      </c>
      <c r="K31" s="16">
        <f>Tableau1[[#This Row],[Total € TTC]]/1.2</f>
        <v>2337.5</v>
      </c>
    </row>
    <row r="32" spans="1:12" ht="20.100000000000001" customHeight="1" x14ac:dyDescent="0.2">
      <c r="A32" s="24">
        <v>21</v>
      </c>
      <c r="B32" s="11">
        <v>45089</v>
      </c>
      <c r="C32" s="23">
        <v>45291</v>
      </c>
      <c r="D32" s="13" t="s">
        <v>11</v>
      </c>
      <c r="E32" s="14">
        <v>12</v>
      </c>
      <c r="F32" s="15">
        <v>168</v>
      </c>
      <c r="G32" s="15">
        <v>168</v>
      </c>
      <c r="H32" s="16">
        <f>Tableau1[[#This Row],[€ TTC / LP
1er semestre]]*Tableau1[[#This Row],[Logements]]/4</f>
        <v>504</v>
      </c>
      <c r="I32" s="16">
        <f>Tableau1[[#This Row],[€ TTC / LP
2e semestre]]*Tableau1[[#This Row],[Logements]]/4</f>
        <v>504</v>
      </c>
      <c r="J32" s="17">
        <f>Tableau1[[#This Row],[€ TTC
1er et 2e
Trimestre]]*2+Tableau1[[#This Row],[€ TTC
3e et 4e
Trimestre]]*2</f>
        <v>2016</v>
      </c>
      <c r="K32" s="16">
        <f>Tableau1[[#This Row],[Total € TTC]]/1.2</f>
        <v>1680</v>
      </c>
    </row>
    <row r="33" spans="1:12" ht="20.100000000000001" customHeight="1" x14ac:dyDescent="0.2">
      <c r="A33" s="24">
        <v>22</v>
      </c>
      <c r="B33" s="11">
        <v>45092</v>
      </c>
      <c r="C33" s="23">
        <v>45291</v>
      </c>
      <c r="D33" s="21" t="s">
        <v>13</v>
      </c>
      <c r="E33" s="14">
        <v>4</v>
      </c>
      <c r="F33" s="15">
        <f>1200/Tableau1[[#This Row],[Logements]]</f>
        <v>300</v>
      </c>
      <c r="G33" s="15">
        <f>1200/4</f>
        <v>300</v>
      </c>
      <c r="H33" s="16">
        <f>Tableau1[[#This Row],[€ TTC / LP
1er semestre]]*Tableau1[[#This Row],[Logements]]/4</f>
        <v>300</v>
      </c>
      <c r="I33" s="16">
        <f>Tableau1[[#This Row],[€ TTC / LP
2e semestre]]*Tableau1[[#This Row],[Logements]]/4</f>
        <v>300</v>
      </c>
      <c r="J33" s="17">
        <f>Tableau1[[#This Row],[€ TTC
1er et 2e
Trimestre]]*2+Tableau1[[#This Row],[€ TTC
3e et 4e
Trimestre]]*2</f>
        <v>1200</v>
      </c>
      <c r="K33" s="16">
        <f>Tableau1[[#This Row],[Total € TTC]]/1.2</f>
        <v>1000</v>
      </c>
    </row>
    <row r="34" spans="1:12" ht="20.100000000000001" customHeight="1" x14ac:dyDescent="0.2">
      <c r="A34" s="10">
        <v>23</v>
      </c>
      <c r="B34" s="11">
        <v>45104</v>
      </c>
      <c r="C34" s="12">
        <v>45107</v>
      </c>
      <c r="D34" s="13" t="s">
        <v>11</v>
      </c>
      <c r="E34" s="14">
        <v>31</v>
      </c>
      <c r="F34" s="15">
        <v>162</v>
      </c>
      <c r="G34" s="15">
        <v>168</v>
      </c>
      <c r="H34" s="16">
        <f>Tableau1[[#This Row],[€ TTC / LP
1er semestre]]*Tableau1[[#This Row],[Logements]]/4</f>
        <v>1255.5</v>
      </c>
      <c r="I34" s="16">
        <f>Tableau1[[#This Row],[€ TTC / LP
2e semestre]]*Tableau1[[#This Row],[Logements]]/4</f>
        <v>1302</v>
      </c>
      <c r="J34" s="17">
        <f>Tableau1[[#This Row],[€ TTC
1er et 2e
Trimestre]]*2+Tableau1[[#This Row],[€ TTC
3e et 4e
Trimestre]]*2</f>
        <v>5115</v>
      </c>
      <c r="K34" s="16">
        <f>Tableau1[[#This Row],[Total € TTC]]/1.2</f>
        <v>4262.5</v>
      </c>
    </row>
    <row r="35" spans="1:12" ht="20.100000000000001" customHeight="1" x14ac:dyDescent="0.2">
      <c r="A35" s="10">
        <v>24</v>
      </c>
      <c r="B35" s="11">
        <v>45113</v>
      </c>
      <c r="C35" s="12">
        <v>45107</v>
      </c>
      <c r="D35" s="13" t="s">
        <v>11</v>
      </c>
      <c r="E35" s="14">
        <v>24</v>
      </c>
      <c r="F35" s="15">
        <v>162</v>
      </c>
      <c r="G35" s="15">
        <v>168</v>
      </c>
      <c r="H35" s="16">
        <f>Tableau1[[#This Row],[€ TTC / LP
1er semestre]]*Tableau1[[#This Row],[Logements]]/4</f>
        <v>972</v>
      </c>
      <c r="I35" s="16">
        <f>Tableau1[[#This Row],[€ TTC / LP
2e semestre]]*Tableau1[[#This Row],[Logements]]/4</f>
        <v>1008</v>
      </c>
      <c r="J35" s="17">
        <f>Tableau1[[#This Row],[€ TTC
1er et 2e
Trimestre]]*2+Tableau1[[#This Row],[€ TTC
3e et 4e
Trimestre]]*2</f>
        <v>3960</v>
      </c>
      <c r="K35" s="16">
        <f>Tableau1[[#This Row],[Total € TTC]]/1.2</f>
        <v>3300</v>
      </c>
    </row>
    <row r="36" spans="1:12" ht="20.100000000000001" customHeight="1" x14ac:dyDescent="0.2">
      <c r="A36" s="10">
        <v>25</v>
      </c>
      <c r="B36" s="11">
        <v>45117</v>
      </c>
      <c r="C36" s="12">
        <v>45107</v>
      </c>
      <c r="D36" s="13" t="s">
        <v>11</v>
      </c>
      <c r="E36" s="14">
        <v>17</v>
      </c>
      <c r="F36" s="15">
        <v>162</v>
      </c>
      <c r="G36" s="15">
        <v>168</v>
      </c>
      <c r="H36" s="16">
        <f>Tableau1[[#This Row],[€ TTC / LP
1er semestre]]*Tableau1[[#This Row],[Logements]]/4</f>
        <v>688.5</v>
      </c>
      <c r="I36" s="16">
        <f>Tableau1[[#This Row],[€ TTC / LP
2e semestre]]*Tableau1[[#This Row],[Logements]]/4</f>
        <v>714</v>
      </c>
      <c r="J36" s="17">
        <f>Tableau1[[#This Row],[€ TTC
1er et 2e
Trimestre]]*2+Tableau1[[#This Row],[€ TTC
3e et 4e
Trimestre]]*2</f>
        <v>2805</v>
      </c>
      <c r="K36" s="16">
        <f>Tableau1[[#This Row],[Total € TTC]]/1.2</f>
        <v>2337.5</v>
      </c>
    </row>
    <row r="37" spans="1:12" ht="20.100000000000001" customHeight="1" x14ac:dyDescent="0.25">
      <c r="A37" s="10">
        <v>26</v>
      </c>
      <c r="B37" s="11">
        <v>45121</v>
      </c>
      <c r="C37" s="12">
        <v>45107</v>
      </c>
      <c r="D37" s="27" t="s">
        <v>14</v>
      </c>
      <c r="E37" s="14"/>
      <c r="F37" s="15"/>
      <c r="G37" s="15"/>
      <c r="H37" s="16">
        <v>150</v>
      </c>
      <c r="I37" s="16">
        <v>150</v>
      </c>
      <c r="J37" s="17">
        <f>Tableau1[[#This Row],[€ TTC
1er et 2e
Trimestre]]*2+Tableau1[[#This Row],[€ TTC
3e et 4e
Trimestre]]*2</f>
        <v>600</v>
      </c>
      <c r="K37" s="16">
        <f>Tableau1[[#This Row],[Total € TTC]]/1.2</f>
        <v>500</v>
      </c>
      <c r="L37" s="28"/>
    </row>
    <row r="38" spans="1:12" ht="20.100000000000001" customHeight="1" x14ac:dyDescent="0.25">
      <c r="A38" s="10">
        <v>27</v>
      </c>
      <c r="B38" s="11">
        <v>45128</v>
      </c>
      <c r="C38" s="12">
        <v>45107</v>
      </c>
      <c r="D38" s="21" t="s">
        <v>13</v>
      </c>
      <c r="E38" s="14">
        <v>6</v>
      </c>
      <c r="F38" s="15">
        <f>1200/Tableau1[[#This Row],[Logements]]</f>
        <v>200</v>
      </c>
      <c r="G38" s="15">
        <f>1200/Tableau1[[#This Row],[Logements]]</f>
        <v>200</v>
      </c>
      <c r="H38" s="16">
        <f>Tableau1[[#This Row],[€ TTC / LP
1er semestre]]*Tableau1[[#This Row],[Logements]]/4</f>
        <v>300</v>
      </c>
      <c r="I38" s="16">
        <f>Tableau1[[#This Row],[€ TTC / LP
2e semestre]]*Tableau1[[#This Row],[Logements]]/4</f>
        <v>300</v>
      </c>
      <c r="J38" s="17">
        <f>Tableau1[[#This Row],[€ TTC
1er et 2e
Trimestre]]*2+Tableau1[[#This Row],[€ TTC
3e et 4e
Trimestre]]*2</f>
        <v>1200</v>
      </c>
      <c r="K38" s="16">
        <f>Tableau1[[#This Row],[Total € TTC]]/1.2</f>
        <v>1000</v>
      </c>
      <c r="L38" s="28"/>
    </row>
    <row r="39" spans="1:12" ht="20.100000000000001" customHeight="1" x14ac:dyDescent="0.2">
      <c r="A39" s="10">
        <v>28</v>
      </c>
      <c r="B39" s="11">
        <v>45131</v>
      </c>
      <c r="C39" s="12">
        <v>45107</v>
      </c>
      <c r="D39" s="21" t="s">
        <v>13</v>
      </c>
      <c r="E39" s="14">
        <v>6</v>
      </c>
      <c r="F39" s="15">
        <f>1200/Tableau1[[#This Row],[Logements]]</f>
        <v>200</v>
      </c>
      <c r="G39" s="15">
        <f>1200/Tableau1[[#This Row],[Logements]]</f>
        <v>200</v>
      </c>
      <c r="H39" s="16">
        <f>Tableau1[[#This Row],[€ TTC / LP
1er semestre]]*Tableau1[[#This Row],[Logements]]/4</f>
        <v>300</v>
      </c>
      <c r="I39" s="16">
        <f>Tableau1[[#This Row],[€ TTC / LP
2e semestre]]*Tableau1[[#This Row],[Logements]]/4</f>
        <v>300</v>
      </c>
      <c r="J39" s="17">
        <f>Tableau1[[#This Row],[€ TTC
1er et 2e
Trimestre]]*2+Tableau1[[#This Row],[€ TTC
3e et 4e
Trimestre]]*2</f>
        <v>1200</v>
      </c>
      <c r="K39" s="16">
        <f>Tableau1[[#This Row],[Total € TTC]]/1.2</f>
        <v>1000</v>
      </c>
    </row>
    <row r="40" spans="1:12" ht="20.100000000000001" customHeight="1" x14ac:dyDescent="0.2">
      <c r="A40" s="10">
        <v>29</v>
      </c>
      <c r="B40" s="11">
        <v>45128</v>
      </c>
      <c r="C40" s="12">
        <v>45107</v>
      </c>
      <c r="D40" s="19" t="s">
        <v>12</v>
      </c>
      <c r="E40" s="14">
        <v>5</v>
      </c>
      <c r="F40" s="15">
        <f>540/Tableau1[[#This Row],[Logements]]</f>
        <v>108</v>
      </c>
      <c r="G40" s="15">
        <f>540/Tableau1[[#This Row],[Logements]]</f>
        <v>108</v>
      </c>
      <c r="H40" s="16">
        <f>Tableau1[[#This Row],[€ TTC / LP
1er semestre]]*Tableau1[[#This Row],[Logements]]/4</f>
        <v>135</v>
      </c>
      <c r="I40" s="16">
        <f>Tableau1[[#This Row],[€ TTC / LP
2e semestre]]*Tableau1[[#This Row],[Logements]]/4</f>
        <v>135</v>
      </c>
      <c r="J40" s="17">
        <f>Tableau1[[#This Row],[€ TTC
1er et 2e
Trimestre]]*2+Tableau1[[#This Row],[€ TTC
3e et 4e
Trimestre]]*2</f>
        <v>540</v>
      </c>
      <c r="K40" s="16">
        <f>Tableau1[[#This Row],[Total € TTC]]/1.2</f>
        <v>450</v>
      </c>
    </row>
    <row r="41" spans="1:12" ht="20.100000000000001" customHeight="1" x14ac:dyDescent="0.2">
      <c r="A41" s="10">
        <v>30</v>
      </c>
      <c r="B41" s="11">
        <v>45168</v>
      </c>
      <c r="C41" s="12">
        <v>45107</v>
      </c>
      <c r="D41" s="13" t="s">
        <v>11</v>
      </c>
      <c r="E41" s="14">
        <v>16</v>
      </c>
      <c r="F41" s="15">
        <v>162</v>
      </c>
      <c r="G41" s="15">
        <v>168</v>
      </c>
      <c r="H41" s="16">
        <f>Tableau1[[#This Row],[€ TTC / LP
1er semestre]]*Tableau1[[#This Row],[Logements]]/4</f>
        <v>648</v>
      </c>
      <c r="I41" s="16">
        <f>Tableau1[[#This Row],[€ TTC / LP
2e semestre]]*Tableau1[[#This Row],[Logements]]/4</f>
        <v>672</v>
      </c>
      <c r="J41" s="17">
        <f>Tableau1[[#This Row],[€ TTC
1er et 2e
Trimestre]]*2+Tableau1[[#This Row],[€ TTC
3e et 4e
Trimestre]]*2</f>
        <v>2640</v>
      </c>
      <c r="K41" s="16">
        <f>Tableau1[[#This Row],[Total € TTC]]/1.2</f>
        <v>2200</v>
      </c>
      <c r="L41" s="29"/>
    </row>
    <row r="42" spans="1:12" ht="20.100000000000001" customHeight="1" x14ac:dyDescent="0.25">
      <c r="A42" s="20">
        <v>31</v>
      </c>
      <c r="B42" s="11">
        <v>45205</v>
      </c>
      <c r="C42" s="30">
        <v>45107</v>
      </c>
      <c r="D42" s="13" t="s">
        <v>11</v>
      </c>
      <c r="E42" s="15">
        <v>34</v>
      </c>
      <c r="F42" s="15">
        <v>162</v>
      </c>
      <c r="G42" s="15">
        <v>168</v>
      </c>
      <c r="H42" s="16">
        <f>Tableau1[[#This Row],[€ TTC / LP
1er semestre]]*Tableau1[[#This Row],[Logements]]/4</f>
        <v>1377</v>
      </c>
      <c r="I42" s="16">
        <f>Tableau1[[#This Row],[€ TTC / LP
2e semestre]]*Tableau1[[#This Row],[Logements]]/4</f>
        <v>1428</v>
      </c>
      <c r="J42" s="17">
        <f>Tableau1[[#This Row],[€ TTC
1er et 2e
Trimestre]]*2+Tableau1[[#This Row],[€ TTC
3e et 4e
Trimestre]]*2</f>
        <v>5610</v>
      </c>
      <c r="K42" s="16">
        <f>Tableau1[[#This Row],[Total € TTC]]/1.2</f>
        <v>4675</v>
      </c>
      <c r="L42" s="28"/>
    </row>
    <row r="43" spans="1:12" ht="20.100000000000001" customHeight="1" x14ac:dyDescent="0.25">
      <c r="A43" s="20">
        <v>32</v>
      </c>
      <c r="B43" s="11">
        <v>45348</v>
      </c>
      <c r="C43" s="30">
        <v>45473</v>
      </c>
      <c r="D43" s="19" t="s">
        <v>12</v>
      </c>
      <c r="E43" s="15">
        <v>27</v>
      </c>
      <c r="F43" s="15">
        <f>540/Tableau1[[#This Row],[Logements]]</f>
        <v>20</v>
      </c>
      <c r="G43" s="15">
        <f>540/Tableau1[[#This Row],[Logements]]</f>
        <v>20</v>
      </c>
      <c r="H43" s="16">
        <f>Tableau1[[#This Row],[€ TTC / LP
1er semestre]]*Tableau1[[#This Row],[Logements]]/4</f>
        <v>135</v>
      </c>
      <c r="I43" s="16">
        <f>Tableau1[[#This Row],[€ TTC / LP
2e semestre]]*Tableau1[[#This Row],[Logements]]/4</f>
        <v>135</v>
      </c>
      <c r="J43" s="17">
        <f>Tableau1[[#This Row],[€ TTC
1er et 2e
Trimestre]]*2+Tableau1[[#This Row],[€ TTC
3e et 4e
Trimestre]]*2</f>
        <v>540</v>
      </c>
      <c r="K43" s="16">
        <f>Tableau1[[#This Row],[Total € TTC]]/1.2</f>
        <v>450</v>
      </c>
      <c r="L43" s="28"/>
    </row>
    <row r="44" spans="1:12" ht="20.100000000000001" customHeight="1" x14ac:dyDescent="0.25">
      <c r="A44" s="20">
        <v>33</v>
      </c>
      <c r="B44" s="11">
        <v>45251</v>
      </c>
      <c r="C44" s="30">
        <v>45473</v>
      </c>
      <c r="D44" s="13" t="s">
        <v>11</v>
      </c>
      <c r="E44" s="15">
        <v>22</v>
      </c>
      <c r="F44" s="15">
        <v>162</v>
      </c>
      <c r="G44" s="15">
        <v>168</v>
      </c>
      <c r="H44" s="16">
        <f>Tableau1[[#This Row],[€ TTC / LP
1er semestre]]*Tableau1[[#This Row],[Logements]]/4</f>
        <v>891</v>
      </c>
      <c r="I44" s="16">
        <f>Tableau1[[#This Row],[€ TTC / LP
2e semestre]]*Tableau1[[#This Row],[Logements]]/4</f>
        <v>924</v>
      </c>
      <c r="J44" s="17">
        <f>Tableau1[[#This Row],[€ TTC
1er et 2e
Trimestre]]*2+Tableau1[[#This Row],[€ TTC
3e et 4e
Trimestre]]*2</f>
        <v>3630</v>
      </c>
      <c r="K44" s="16">
        <f>Tableau1[[#This Row],[Total € TTC]]/1.2</f>
        <v>3025</v>
      </c>
      <c r="L44" s="28"/>
    </row>
    <row r="45" spans="1:12" ht="20.100000000000001" customHeight="1" x14ac:dyDescent="0.25">
      <c r="A45" s="20">
        <v>34</v>
      </c>
      <c r="B45" s="11">
        <v>45278</v>
      </c>
      <c r="C45" s="30">
        <v>45473</v>
      </c>
      <c r="D45" s="13" t="s">
        <v>11</v>
      </c>
      <c r="E45" s="15">
        <v>28</v>
      </c>
      <c r="F45" s="15">
        <v>162</v>
      </c>
      <c r="G45" s="15">
        <v>168</v>
      </c>
      <c r="H45" s="16">
        <f>Tableau1[[#This Row],[€ TTC / LP
1er semestre]]*Tableau1[[#This Row],[Logements]]/4</f>
        <v>1134</v>
      </c>
      <c r="I45" s="16">
        <f>Tableau1[[#This Row],[€ TTC / LP
2e semestre]]*Tableau1[[#This Row],[Logements]]/4</f>
        <v>1176</v>
      </c>
      <c r="J45" s="17">
        <f>Tableau1[[#This Row],[€ TTC
1er et 2e
Trimestre]]*2+Tableau1[[#This Row],[€ TTC
3e et 4e
Trimestre]]*2</f>
        <v>4620</v>
      </c>
      <c r="K45" s="16">
        <f>Tableau1[[#This Row],[Total € TTC]]/1.2</f>
        <v>3850</v>
      </c>
      <c r="L45" s="28"/>
    </row>
    <row r="46" spans="1:12" ht="20.100000000000001" customHeight="1" x14ac:dyDescent="0.25">
      <c r="A46" s="20">
        <v>35</v>
      </c>
      <c r="B46" s="11">
        <v>45303</v>
      </c>
      <c r="C46" s="30">
        <v>45473</v>
      </c>
      <c r="D46" s="13" t="s">
        <v>11</v>
      </c>
      <c r="E46" s="15">
        <v>9</v>
      </c>
      <c r="F46" s="15">
        <v>162</v>
      </c>
      <c r="G46" s="15">
        <v>168</v>
      </c>
      <c r="H46" s="16">
        <f>Tableau1[[#This Row],[€ TTC / LP
1er semestre]]*Tableau1[[#This Row],[Logements]]/4</f>
        <v>364.5</v>
      </c>
      <c r="I46" s="16">
        <f>Tableau1[[#This Row],[€ TTC / LP
2e semestre]]*Tableau1[[#This Row],[Logements]]/4</f>
        <v>378</v>
      </c>
      <c r="J46" s="17">
        <f>Tableau1[[#This Row],[€ TTC
1er et 2e
Trimestre]]*2+Tableau1[[#This Row],[€ TTC
3e et 4e
Trimestre]]*2</f>
        <v>1485</v>
      </c>
      <c r="K46" s="16">
        <f>Tableau1[[#This Row],[Total € TTC]]/1.2</f>
        <v>1237.5</v>
      </c>
      <c r="L46" s="28"/>
    </row>
    <row r="47" spans="1:12" ht="20.100000000000001" customHeight="1" x14ac:dyDescent="0.25">
      <c r="A47" s="24">
        <v>36</v>
      </c>
      <c r="B47" s="11">
        <v>45307</v>
      </c>
      <c r="C47" s="23">
        <v>45291</v>
      </c>
      <c r="D47" s="21" t="s">
        <v>13</v>
      </c>
      <c r="E47" s="15">
        <v>6</v>
      </c>
      <c r="F47" s="15">
        <f>1200/Tableau1[[#This Row],[Logements]]</f>
        <v>200</v>
      </c>
      <c r="G47" s="15">
        <f>1200/Tableau1[[#This Row],[Logements]]</f>
        <v>200</v>
      </c>
      <c r="H47" s="16">
        <f>Tableau1[[#This Row],[€ TTC / LP
1er semestre]]*Tableau1[[#This Row],[Logements]]/4</f>
        <v>300</v>
      </c>
      <c r="I47" s="16">
        <f>Tableau1[[#This Row],[€ TTC / LP
2e semestre]]*Tableau1[[#This Row],[Logements]]/4</f>
        <v>300</v>
      </c>
      <c r="J47" s="17">
        <f>Tableau1[[#This Row],[€ TTC
1er et 2e
Trimestre]]*2+Tableau1[[#This Row],[€ TTC
3e et 4e
Trimestre]]*2</f>
        <v>1200</v>
      </c>
      <c r="K47" s="16">
        <f>Tableau1[[#This Row],[Total € TTC]]/1.2</f>
        <v>1000</v>
      </c>
      <c r="L47" s="28"/>
    </row>
    <row r="48" spans="1:12" ht="20.100000000000001" customHeight="1" x14ac:dyDescent="0.25">
      <c r="A48" s="20">
        <v>37</v>
      </c>
      <c r="B48" s="11">
        <v>45427</v>
      </c>
      <c r="C48" s="30">
        <v>45473</v>
      </c>
      <c r="D48" s="13" t="s">
        <v>11</v>
      </c>
      <c r="E48" s="15">
        <v>24</v>
      </c>
      <c r="F48" s="15">
        <v>162</v>
      </c>
      <c r="G48" s="15">
        <v>168</v>
      </c>
      <c r="H48" s="16">
        <f>Tableau1[[#This Row],[€ TTC / LP
1er semestre]]*Tableau1[[#This Row],[Logements]]/4</f>
        <v>972</v>
      </c>
      <c r="I48" s="16">
        <f>Tableau1[[#This Row],[€ TTC / LP
2e semestre]]*Tableau1[[#This Row],[Logements]]/4</f>
        <v>1008</v>
      </c>
      <c r="J48" s="17">
        <f>Tableau1[[#This Row],[€ TTC
1er et 2e
Trimestre]]*2+Tableau1[[#This Row],[€ TTC
3e et 4e
Trimestre]]*2</f>
        <v>3960</v>
      </c>
      <c r="K48" s="16">
        <f>Tableau1[[#This Row],[Total € TTC]]/1.2</f>
        <v>3300</v>
      </c>
      <c r="L48" s="28"/>
    </row>
    <row r="49" spans="1:12" ht="20.100000000000001" customHeight="1" x14ac:dyDescent="0.25">
      <c r="A49" s="20">
        <v>38</v>
      </c>
      <c r="B49" s="11">
        <v>45463</v>
      </c>
      <c r="C49" s="30">
        <v>45473</v>
      </c>
      <c r="D49" s="13" t="s">
        <v>11</v>
      </c>
      <c r="E49" s="15">
        <v>26</v>
      </c>
      <c r="F49" s="15">
        <v>162</v>
      </c>
      <c r="G49" s="15">
        <v>168</v>
      </c>
      <c r="H49" s="16">
        <f>Tableau1[[#This Row],[€ TTC / LP
1er semestre]]*Tableau1[[#This Row],[Logements]]/4</f>
        <v>1053</v>
      </c>
      <c r="I49" s="16">
        <f>Tableau1[[#This Row],[€ TTC / LP
2e semestre]]*Tableau1[[#This Row],[Logements]]/4</f>
        <v>1092</v>
      </c>
      <c r="J49" s="17">
        <f>Tableau1[[#This Row],[€ TTC
1er et 2e
Trimestre]]*2+Tableau1[[#This Row],[€ TTC
3e et 4e
Trimestre]]*2</f>
        <v>4290</v>
      </c>
      <c r="K49" s="16">
        <f>Tableau1[[#This Row],[Total € TTC]]/1.2</f>
        <v>3575</v>
      </c>
      <c r="L49" s="28"/>
    </row>
    <row r="50" spans="1:12" ht="20.100000000000001" customHeight="1" x14ac:dyDescent="0.25">
      <c r="A50" s="24">
        <v>39</v>
      </c>
      <c r="B50" s="11">
        <v>45475</v>
      </c>
      <c r="C50" s="23">
        <v>45291</v>
      </c>
      <c r="D50" s="21" t="s">
        <v>13</v>
      </c>
      <c r="E50" s="15">
        <v>6</v>
      </c>
      <c r="F50" s="15">
        <f>1200/Tableau1[[#This Row],[Logements]]</f>
        <v>200</v>
      </c>
      <c r="G50" s="15">
        <f>1200/Tableau1[[#This Row],[Logements]]</f>
        <v>200</v>
      </c>
      <c r="H50" s="16">
        <f>Tableau1[[#This Row],[€ TTC / LP
1er semestre]]*Tableau1[[#This Row],[Logements]]/4</f>
        <v>300</v>
      </c>
      <c r="I50" s="16">
        <f>Tableau1[[#This Row],[€ TTC / LP
2e semestre]]*Tableau1[[#This Row],[Logements]]/4</f>
        <v>300</v>
      </c>
      <c r="J50" s="17">
        <f>Tableau1[[#This Row],[€ TTC
1er et 2e
Trimestre]]*2+Tableau1[[#This Row],[€ TTC
3e et 4e
Trimestre]]*2</f>
        <v>1200</v>
      </c>
      <c r="K50" s="16">
        <f>Tableau1[[#This Row],[Total € TTC]]/1.2</f>
        <v>1000</v>
      </c>
      <c r="L50" s="28"/>
    </row>
    <row r="51" spans="1:12" ht="20.100000000000001" customHeight="1" x14ac:dyDescent="0.25">
      <c r="A51" s="24">
        <v>40</v>
      </c>
      <c r="B51" s="11">
        <v>45524</v>
      </c>
      <c r="C51" s="23">
        <v>45291</v>
      </c>
      <c r="D51" s="13" t="s">
        <v>11</v>
      </c>
      <c r="E51" s="15">
        <v>2</v>
      </c>
      <c r="F51" s="15">
        <v>168</v>
      </c>
      <c r="G51" s="15">
        <v>168</v>
      </c>
      <c r="H51" s="16">
        <f>Tableau1[[#This Row],[€ TTC / LP
1er semestre]]*Tableau1[[#This Row],[Logements]]/4</f>
        <v>84</v>
      </c>
      <c r="I51" s="16">
        <f>Tableau1[[#This Row],[€ TTC / LP
2e semestre]]*Tableau1[[#This Row],[Logements]]/4</f>
        <v>84</v>
      </c>
      <c r="J51" s="17">
        <f>Tableau1[[#This Row],[€ TTC
1er et 2e
Trimestre]]*2+Tableau1[[#This Row],[€ TTC
3e et 4e
Trimestre]]*2</f>
        <v>336</v>
      </c>
      <c r="K51" s="16">
        <f>Tableau1[[#This Row],[Total € TTC]]/1.2</f>
        <v>280</v>
      </c>
      <c r="L51" s="28"/>
    </row>
    <row r="52" spans="1:12" ht="20.100000000000001" customHeight="1" x14ac:dyDescent="0.2">
      <c r="A52" s="20">
        <v>41</v>
      </c>
      <c r="B52" s="11">
        <v>45526</v>
      </c>
      <c r="C52" s="30">
        <v>45473</v>
      </c>
      <c r="D52" s="13" t="s">
        <v>11</v>
      </c>
      <c r="E52" s="15">
        <v>20</v>
      </c>
      <c r="F52" s="15">
        <v>162</v>
      </c>
      <c r="G52" s="15">
        <v>168</v>
      </c>
      <c r="H52" s="16">
        <f>Tableau1[[#This Row],[€ TTC / LP
1er semestre]]*Tableau1[[#This Row],[Logements]]/4</f>
        <v>810</v>
      </c>
      <c r="I52" s="16">
        <f>Tableau1[[#This Row],[€ TTC / LP
2e semestre]]*Tableau1[[#This Row],[Logements]]/4</f>
        <v>840</v>
      </c>
      <c r="J52" s="17">
        <f>Tableau1[[#This Row],[€ TTC
1er et 2e
Trimestre]]*2+Tableau1[[#This Row],[€ TTC
3e et 4e
Trimestre]]*2</f>
        <v>3300</v>
      </c>
      <c r="K52" s="16">
        <f>Tableau1[[#This Row],[Total € TTC]]/1.2</f>
        <v>2750</v>
      </c>
    </row>
    <row r="53" spans="1:12" ht="20.100000000000001" customHeight="1" x14ac:dyDescent="0.2">
      <c r="A53" s="24">
        <v>42</v>
      </c>
      <c r="B53" s="11">
        <v>45527</v>
      </c>
      <c r="C53" s="23">
        <v>45291</v>
      </c>
      <c r="D53" s="13" t="s">
        <v>11</v>
      </c>
      <c r="E53" s="15">
        <v>8</v>
      </c>
      <c r="F53" s="15">
        <v>168</v>
      </c>
      <c r="G53" s="15">
        <v>168</v>
      </c>
      <c r="H53" s="16">
        <f>Tableau1[[#This Row],[€ TTC / LP
1er semestre]]*Tableau1[[#This Row],[Logements]]/4</f>
        <v>336</v>
      </c>
      <c r="I53" s="16">
        <f>Tableau1[[#This Row],[€ TTC / LP
2e semestre]]*Tableau1[[#This Row],[Logements]]/4</f>
        <v>336</v>
      </c>
      <c r="J53" s="17">
        <f>Tableau1[[#This Row],[€ TTC
1er et 2e
Trimestre]]*2+Tableau1[[#This Row],[€ TTC
3e et 4e
Trimestre]]*2</f>
        <v>1344</v>
      </c>
      <c r="K53" s="16">
        <f>Tableau1[[#This Row],[Total € TTC]]/1.2</f>
        <v>1120</v>
      </c>
    </row>
    <row r="54" spans="1:12" ht="20.100000000000001" customHeight="1" x14ac:dyDescent="0.2">
      <c r="A54" s="20">
        <v>44</v>
      </c>
      <c r="B54" s="11">
        <v>45562</v>
      </c>
      <c r="C54" s="30">
        <v>45473</v>
      </c>
      <c r="D54" s="21" t="s">
        <v>13</v>
      </c>
      <c r="E54" s="14">
        <v>6</v>
      </c>
      <c r="F54" s="15">
        <f>1200/Tableau1[[#This Row],[Logements]]</f>
        <v>200</v>
      </c>
      <c r="G54" s="15">
        <f>1200/Tableau1[[#This Row],[Logements]]</f>
        <v>200</v>
      </c>
      <c r="H54" s="16">
        <f>Tableau1[[#This Row],[€ TTC / LP
1er semestre]]*Tableau1[[#This Row],[Logements]]/4</f>
        <v>300</v>
      </c>
      <c r="I54" s="16">
        <f>Tableau1[[#This Row],[€ TTC / LP
2e semestre]]*Tableau1[[#This Row],[Logements]]/4</f>
        <v>300</v>
      </c>
      <c r="J54" s="17">
        <f>Tableau1[[#This Row],[€ TTC
1er et 2e
Trimestre]]*2+Tableau1[[#This Row],[€ TTC
3e et 4e
Trimestre]]*2</f>
        <v>1200</v>
      </c>
      <c r="K54" s="16">
        <f>Tableau1[[#This Row],[Total € TTC]]/1.2</f>
        <v>1000</v>
      </c>
    </row>
    <row r="55" spans="1:12" ht="20.100000000000001" customHeight="1" x14ac:dyDescent="0.2">
      <c r="A55" s="20">
        <v>45</v>
      </c>
      <c r="B55" s="31" t="s">
        <v>15</v>
      </c>
      <c r="C55" s="30">
        <v>45473</v>
      </c>
      <c r="D55" s="13" t="s">
        <v>11</v>
      </c>
      <c r="E55" s="32">
        <v>13</v>
      </c>
      <c r="F55" s="15">
        <f>540/Tableau1[[#This Row],[Logements]]</f>
        <v>41.53846153846154</v>
      </c>
      <c r="G55" s="15">
        <f>540/Tableau1[[#This Row],[Logements]]</f>
        <v>41.53846153846154</v>
      </c>
      <c r="H55" s="16">
        <f>Tableau1[[#This Row],[€ TTC / LP
1er semestre]]*Tableau1[[#This Row],[Logements]]/4</f>
        <v>135</v>
      </c>
      <c r="I55" s="16">
        <f>Tableau1[[#This Row],[€ TTC / LP
2e semestre]]*Tableau1[[#This Row],[Logements]]/4</f>
        <v>135</v>
      </c>
      <c r="J55" s="17">
        <f>Tableau1[[#This Row],[€ TTC
1er et 2e
Trimestre]]*2+Tableau1[[#This Row],[€ TTC
3e et 4e
Trimestre]]*2</f>
        <v>540</v>
      </c>
      <c r="K55" s="16">
        <f>Tableau1[[#This Row],[Total € TTC]]/1.2</f>
        <v>450</v>
      </c>
    </row>
    <row r="56" spans="1:12" ht="20.100000000000001" customHeight="1" x14ac:dyDescent="0.2">
      <c r="A56" s="24">
        <v>46</v>
      </c>
      <c r="B56" s="31" t="s">
        <v>16</v>
      </c>
      <c r="C56" s="23">
        <v>45291</v>
      </c>
      <c r="D56" s="13" t="s">
        <v>11</v>
      </c>
      <c r="E56" s="32">
        <v>2</v>
      </c>
      <c r="F56" s="15">
        <v>168</v>
      </c>
      <c r="G56" s="15">
        <v>168</v>
      </c>
      <c r="H56" s="16">
        <f>Tableau1[[#This Row],[€ TTC / LP
1er semestre]]*Tableau1[[#This Row],[Logements]]/4</f>
        <v>84</v>
      </c>
      <c r="I56" s="16">
        <f>Tableau1[[#This Row],[€ TTC / LP
2e semestre]]*Tableau1[[#This Row],[Logements]]/4</f>
        <v>84</v>
      </c>
      <c r="J56" s="17">
        <f>Tableau1[[#This Row],[€ TTC
1er et 2e
Trimestre]]*2+Tableau1[[#This Row],[€ TTC
3e et 4e
Trimestre]]*2</f>
        <v>336</v>
      </c>
      <c r="K56" s="16">
        <f>Tableau1[[#This Row],[Total € TTC]]/1.2</f>
        <v>280</v>
      </c>
    </row>
    <row r="57" spans="1:12" ht="20.100000000000001" customHeight="1" x14ac:dyDescent="0.2">
      <c r="A57" s="20">
        <v>47</v>
      </c>
      <c r="B57" s="31" t="s">
        <v>17</v>
      </c>
      <c r="C57" s="30">
        <v>45473</v>
      </c>
      <c r="D57" s="13" t="s">
        <v>11</v>
      </c>
      <c r="E57" s="33">
        <v>11</v>
      </c>
      <c r="F57" s="15">
        <f>540/Tableau1[[#This Row],[Logements]]</f>
        <v>49.090909090909093</v>
      </c>
      <c r="G57" s="15">
        <f>540/Tableau1[[#This Row],[Logements]]</f>
        <v>49.090909090909093</v>
      </c>
      <c r="H57" s="16">
        <f>Tableau1[[#This Row],[€ TTC / LP
1er semestre]]*Tableau1[[#This Row],[Logements]]/4</f>
        <v>135</v>
      </c>
      <c r="I57" s="16">
        <f>Tableau1[[#This Row],[€ TTC / LP
2e semestre]]*Tableau1[[#This Row],[Logements]]/4</f>
        <v>135</v>
      </c>
      <c r="J57" s="17">
        <f>Tableau1[[#This Row],[€ TTC
1er et 2e
Trimestre]]*2+Tableau1[[#This Row],[€ TTC
3e et 4e
Trimestre]]*2</f>
        <v>540</v>
      </c>
      <c r="K57" s="16">
        <f>Tableau1[[#This Row],[Total € TTC]]/1.2</f>
        <v>450</v>
      </c>
    </row>
    <row r="58" spans="1:12" ht="20.100000000000001" customHeight="1" x14ac:dyDescent="0.2">
      <c r="A58" s="24">
        <v>48</v>
      </c>
      <c r="B58" s="31" t="s">
        <v>18</v>
      </c>
      <c r="C58" s="23">
        <v>45291</v>
      </c>
      <c r="D58" s="13" t="s">
        <v>11</v>
      </c>
      <c r="E58" s="32">
        <v>12</v>
      </c>
      <c r="F58" s="15">
        <v>168</v>
      </c>
      <c r="G58" s="15">
        <v>168</v>
      </c>
      <c r="H58" s="16">
        <f>Tableau1[[#This Row],[€ TTC / LP
1er semestre]]*Tableau1[[#This Row],[Logements]]/4</f>
        <v>504</v>
      </c>
      <c r="I58" s="16">
        <f>Tableau1[[#This Row],[€ TTC / LP
2e semestre]]*Tableau1[[#This Row],[Logements]]/4</f>
        <v>504</v>
      </c>
      <c r="J58" s="17">
        <f>Tableau1[[#This Row],[€ TTC
1er et 2e
Trimestre]]*2+Tableau1[[#This Row],[€ TTC
3e et 4e
Trimestre]]*2</f>
        <v>2016</v>
      </c>
      <c r="K58" s="16">
        <f>Tableau1[[#This Row],[Total € TTC]]/1.2</f>
        <v>1680</v>
      </c>
    </row>
    <row r="59" spans="1:12" ht="20.100000000000001" customHeight="1" x14ac:dyDescent="0.2">
      <c r="A59" s="24">
        <v>49</v>
      </c>
      <c r="B59" s="11">
        <v>45644</v>
      </c>
      <c r="C59" s="23">
        <v>45291</v>
      </c>
      <c r="D59" s="13" t="s">
        <v>11</v>
      </c>
      <c r="E59" s="15">
        <v>2</v>
      </c>
      <c r="F59" s="15">
        <v>168</v>
      </c>
      <c r="G59" s="15">
        <v>168</v>
      </c>
      <c r="H59" s="16">
        <f>Tableau1[[#This Row],[€ TTC / LP
1er semestre]]*Tableau1[[#This Row],[Logements]]/4</f>
        <v>84</v>
      </c>
      <c r="I59" s="16">
        <f>Tableau1[[#This Row],[€ TTC / LP
2e semestre]]*Tableau1[[#This Row],[Logements]]/4</f>
        <v>84</v>
      </c>
      <c r="J59" s="17">
        <f>Tableau1[[#This Row],[€ TTC
1er et 2e
Trimestre]]*2+Tableau1[[#This Row],[€ TTC
3e et 4e
Trimestre]]*2</f>
        <v>336</v>
      </c>
      <c r="K59" s="16">
        <f>Tableau1[[#This Row],[Total € TTC]]/1.2</f>
        <v>280</v>
      </c>
    </row>
    <row r="60" spans="1:12" ht="20.100000000000001" customHeight="1" x14ac:dyDescent="0.2">
      <c r="A60" s="24">
        <v>50</v>
      </c>
      <c r="B60" s="11">
        <v>45707</v>
      </c>
      <c r="C60" s="23">
        <v>45291</v>
      </c>
      <c r="D60" s="13" t="s">
        <v>11</v>
      </c>
      <c r="E60" s="14">
        <v>10</v>
      </c>
      <c r="F60" s="15">
        <v>168</v>
      </c>
      <c r="G60" s="15">
        <v>168</v>
      </c>
      <c r="H60" s="16">
        <f>Tableau1[[#This Row],[€ TTC / LP
1er semestre]]*Tableau1[[#This Row],[Logements]]/4</f>
        <v>420</v>
      </c>
      <c r="I60" s="16">
        <f>Tableau1[[#This Row],[€ TTC / LP
2e semestre]]*Tableau1[[#This Row],[Logements]]/4</f>
        <v>420</v>
      </c>
      <c r="J60" s="17">
        <f>Tableau1[[#This Row],[€ TTC
1er et 2e
Trimestre]]*2+Tableau1[[#This Row],[€ TTC
3e et 4e
Trimestre]]*2</f>
        <v>1680</v>
      </c>
      <c r="K60" s="16">
        <f>Tableau1[[#This Row],[Total € TTC]]/1.2</f>
        <v>1400</v>
      </c>
    </row>
    <row r="61" spans="1:12" ht="20.100000000000001" customHeight="1" x14ac:dyDescent="0.2">
      <c r="A61" s="24">
        <v>51</v>
      </c>
      <c r="B61" s="11">
        <v>45728</v>
      </c>
      <c r="C61" s="23">
        <v>45291</v>
      </c>
      <c r="D61" s="13" t="s">
        <v>11</v>
      </c>
      <c r="E61" s="14">
        <v>15</v>
      </c>
      <c r="F61" s="15">
        <v>168</v>
      </c>
      <c r="G61" s="15">
        <v>168</v>
      </c>
      <c r="H61" s="16">
        <f>Tableau1[[#This Row],[€ TTC / LP
1er semestre]]*Tableau1[[#This Row],[Logements]]/4</f>
        <v>630</v>
      </c>
      <c r="I61" s="16">
        <f>Tableau1[[#This Row],[€ TTC / LP
2e semestre]]*Tableau1[[#This Row],[Logements]]/4</f>
        <v>630</v>
      </c>
      <c r="J61" s="17">
        <f>Tableau1[[#This Row],[€ TTC
1er et 2e
Trimestre]]*2+Tableau1[[#This Row],[€ TTC
3e et 4e
Trimestre]]*2</f>
        <v>2520</v>
      </c>
      <c r="K61" s="16">
        <f>Tableau1[[#This Row],[Total € TTC]]/1.2</f>
        <v>2100</v>
      </c>
    </row>
    <row r="62" spans="1:12" ht="20.100000000000001" customHeight="1" x14ac:dyDescent="0.2">
      <c r="A62" s="10">
        <v>52</v>
      </c>
      <c r="B62" s="11">
        <v>45764</v>
      </c>
      <c r="C62" s="30">
        <v>45473</v>
      </c>
      <c r="D62" s="13" t="s">
        <v>11</v>
      </c>
      <c r="E62" s="15">
        <v>24</v>
      </c>
      <c r="F62" s="15">
        <v>168</v>
      </c>
      <c r="G62" s="15">
        <v>168</v>
      </c>
      <c r="H62" s="16">
        <f>Tableau1[[#This Row],[€ TTC / LP
1er semestre]]*Tableau1[[#This Row],[Logements]]/4</f>
        <v>1008</v>
      </c>
      <c r="I62" s="16">
        <f>Tableau1[[#This Row],[€ TTC / LP
2e semestre]]*Tableau1[[#This Row],[Logements]]/4</f>
        <v>1008</v>
      </c>
      <c r="J62" s="17">
        <f>Tableau1[[#This Row],[€ TTC
1er et 2e
Trimestre]]*2+Tableau1[[#This Row],[€ TTC
3e et 4e
Trimestre]]*2</f>
        <v>4032</v>
      </c>
      <c r="K62" s="16">
        <f>Tableau1[[#This Row],[Total € TTC]]/1.2</f>
        <v>3360</v>
      </c>
    </row>
    <row r="63" spans="1:12" ht="20.100000000000001" customHeight="1" x14ac:dyDescent="0.2">
      <c r="A63" s="10">
        <v>53</v>
      </c>
      <c r="B63" s="11">
        <v>45793</v>
      </c>
      <c r="C63" s="30">
        <v>45473</v>
      </c>
      <c r="D63" s="21" t="s">
        <v>13</v>
      </c>
      <c r="E63" s="15">
        <v>6</v>
      </c>
      <c r="F63" s="15">
        <f>1200/Tableau1[[#This Row],[Logements]]</f>
        <v>200</v>
      </c>
      <c r="G63" s="15">
        <f>1200/Tableau1[[#This Row],[Logements]]</f>
        <v>200</v>
      </c>
      <c r="H63" s="16">
        <f>Tableau1[[#This Row],[€ TTC / LP
1er semestre]]*Tableau1[[#This Row],[Logements]]/4</f>
        <v>300</v>
      </c>
      <c r="I63" s="16">
        <f>Tableau1[[#This Row],[€ TTC / LP
2e semestre]]*Tableau1[[#This Row],[Logements]]/4</f>
        <v>300</v>
      </c>
      <c r="J63" s="17">
        <f>Tableau1[[#This Row],[€ TTC
1er et 2e
Trimestre]]*2+Tableau1[[#This Row],[€ TTC
3e et 4e
Trimestre]]*2</f>
        <v>1200</v>
      </c>
      <c r="K63" s="16">
        <f>Tableau1[[#This Row],[Total € TTC]]/1.2</f>
        <v>1000</v>
      </c>
    </row>
    <row r="64" spans="1:12" ht="20.100000000000001" customHeight="1" x14ac:dyDescent="0.2">
      <c r="A64" s="24">
        <v>54</v>
      </c>
      <c r="B64" s="11">
        <v>45808</v>
      </c>
      <c r="C64" s="23">
        <v>45291</v>
      </c>
      <c r="D64" s="13" t="s">
        <v>11</v>
      </c>
      <c r="E64" s="14">
        <v>12</v>
      </c>
      <c r="F64" s="15">
        <v>168</v>
      </c>
      <c r="G64" s="15">
        <v>168</v>
      </c>
      <c r="H64" s="16">
        <f>Tableau1[[#This Row],[€ TTC / LP
1er semestre]]*Tableau1[[#This Row],[Logements]]/4</f>
        <v>504</v>
      </c>
      <c r="I64" s="16">
        <f>Tableau1[[#This Row],[€ TTC / LP
2e semestre]]*Tableau1[[#This Row],[Logements]]/4</f>
        <v>504</v>
      </c>
      <c r="J64" s="17">
        <f>Tableau1[[#This Row],[€ TTC
1er et 2e
Trimestre]]*2+Tableau1[[#This Row],[€ TTC
3e et 4e
Trimestre]]*2</f>
        <v>2016</v>
      </c>
      <c r="K64" s="16">
        <f>Tableau1[[#This Row],[Total € TTC]]/1.2</f>
        <v>1680</v>
      </c>
    </row>
    <row r="65" spans="1:11" ht="20.100000000000001" customHeight="1" x14ac:dyDescent="0.2">
      <c r="A65" s="24">
        <v>55</v>
      </c>
      <c r="B65" s="11">
        <v>45842</v>
      </c>
      <c r="C65" s="23">
        <v>45291</v>
      </c>
      <c r="D65" s="13" t="s">
        <v>11</v>
      </c>
      <c r="E65" s="32">
        <v>12</v>
      </c>
      <c r="F65" s="15">
        <v>168</v>
      </c>
      <c r="G65" s="15">
        <v>168</v>
      </c>
      <c r="H65" s="16">
        <f>Tableau1[[#This Row],[€ TTC / LP
1er semestre]]*Tableau1[[#This Row],[Logements]]/4</f>
        <v>504</v>
      </c>
      <c r="I65" s="16">
        <f>Tableau1[[#This Row],[€ TTC / LP
2e semestre]]*Tableau1[[#This Row],[Logements]]/4</f>
        <v>504</v>
      </c>
      <c r="J65" s="17">
        <f>Tableau1[[#This Row],[€ TTC
1er et 2e
Trimestre]]*2+Tableau1[[#This Row],[€ TTC
3e et 4e
Trimestre]]*2</f>
        <v>2016</v>
      </c>
      <c r="K65" s="16">
        <f>Tableau1[[#This Row],[Total € TTC]]/1.2</f>
        <v>1680</v>
      </c>
    </row>
    <row r="66" spans="1:11" ht="20.100000000000001" customHeight="1" x14ac:dyDescent="0.2">
      <c r="A66" s="10">
        <v>56</v>
      </c>
      <c r="B66" s="11">
        <v>45855</v>
      </c>
      <c r="C66" s="30">
        <v>45473</v>
      </c>
      <c r="D66" s="13" t="s">
        <v>11</v>
      </c>
      <c r="E66" s="15">
        <v>32</v>
      </c>
      <c r="F66" s="15">
        <v>168</v>
      </c>
      <c r="G66" s="15">
        <v>168</v>
      </c>
      <c r="H66" s="16">
        <f>Tableau1[[#This Row],[€ TTC / LP
1er semestre]]*Tableau1[[#This Row],[Logements]]/4</f>
        <v>1344</v>
      </c>
      <c r="I66" s="16">
        <f>Tableau1[[#This Row],[€ TTC / LP
2e semestre]]*Tableau1[[#This Row],[Logements]]/4</f>
        <v>1344</v>
      </c>
      <c r="J66" s="17">
        <f>Tableau1[[#This Row],[€ TTC
1er et 2e
Trimestre]]*2+Tableau1[[#This Row],[€ TTC
3e et 4e
Trimestre]]*2</f>
        <v>5376</v>
      </c>
      <c r="K66" s="16">
        <f>Tableau1[[#This Row],[Total € TTC]]/1.2</f>
        <v>4480</v>
      </c>
    </row>
    <row r="67" spans="1:11" ht="20.100000000000001" customHeight="1" x14ac:dyDescent="0.2">
      <c r="A67" s="10">
        <v>57</v>
      </c>
      <c r="B67" s="11">
        <v>45859</v>
      </c>
      <c r="C67" s="30">
        <v>45473</v>
      </c>
      <c r="D67" s="13" t="s">
        <v>11</v>
      </c>
      <c r="E67" s="15">
        <v>14</v>
      </c>
      <c r="F67" s="15">
        <v>168</v>
      </c>
      <c r="G67" s="15">
        <v>168</v>
      </c>
      <c r="H67" s="16">
        <f>Tableau1[[#This Row],[€ TTC / LP
1er semestre]]*Tableau1[[#This Row],[Logements]]/4</f>
        <v>588</v>
      </c>
      <c r="I67" s="16">
        <f>Tableau1[[#This Row],[€ TTC / LP
2e semestre]]*Tableau1[[#This Row],[Logements]]/4</f>
        <v>588</v>
      </c>
      <c r="J67" s="17">
        <f>Tableau1[[#This Row],[€ TTC
1er et 2e
Trimestre]]*2+Tableau1[[#This Row],[€ TTC
3e et 4e
Trimestre]]*2</f>
        <v>2352</v>
      </c>
      <c r="K67" s="16">
        <f>Tableau1[[#This Row],[Total € TTC]]/1.2</f>
        <v>1960</v>
      </c>
    </row>
    <row r="68" spans="1:11" ht="20.100000000000001" customHeight="1" x14ac:dyDescent="0.2">
      <c r="A68" s="10">
        <v>58</v>
      </c>
      <c r="B68" s="11">
        <v>45860</v>
      </c>
      <c r="C68" s="30">
        <v>45473</v>
      </c>
      <c r="D68" s="13" t="s">
        <v>11</v>
      </c>
      <c r="E68" s="15">
        <v>30</v>
      </c>
      <c r="F68" s="15">
        <v>168</v>
      </c>
      <c r="G68" s="15">
        <v>168</v>
      </c>
      <c r="H68" s="16">
        <f>Tableau1[[#This Row],[€ TTC / LP
1er semestre]]*Tableau1[[#This Row],[Logements]]/4</f>
        <v>1260</v>
      </c>
      <c r="I68" s="16">
        <f>Tableau1[[#This Row],[€ TTC / LP
2e semestre]]*Tableau1[[#This Row],[Logements]]/4</f>
        <v>1260</v>
      </c>
      <c r="J68" s="17">
        <f>Tableau1[[#This Row],[€ TTC
1er et 2e
Trimestre]]*2+Tableau1[[#This Row],[€ TTC
3e et 4e
Trimestre]]*2</f>
        <v>5040</v>
      </c>
      <c r="K68" s="16">
        <f>Tableau1[[#This Row],[Total € TTC]]/1.2</f>
        <v>4200</v>
      </c>
    </row>
    <row r="69" spans="1:11" ht="20.100000000000001" customHeight="1" x14ac:dyDescent="0.2">
      <c r="A69" s="24">
        <v>59</v>
      </c>
      <c r="B69" s="11">
        <v>45868</v>
      </c>
      <c r="C69" s="23">
        <v>45291</v>
      </c>
      <c r="D69" s="13" t="s">
        <v>11</v>
      </c>
      <c r="E69" s="15">
        <v>12</v>
      </c>
      <c r="F69" s="15">
        <v>168</v>
      </c>
      <c r="G69" s="15">
        <v>168</v>
      </c>
      <c r="H69" s="16">
        <f>Tableau1[[#This Row],[€ TTC / LP
1er semestre]]*Tableau1[[#This Row],[Logements]]/4</f>
        <v>504</v>
      </c>
      <c r="I69" s="16">
        <f>Tableau1[[#This Row],[€ TTC / LP
2e semestre]]*Tableau1[[#This Row],[Logements]]/4</f>
        <v>504</v>
      </c>
      <c r="J69" s="17">
        <f>Tableau1[[#This Row],[€ TTC
1er et 2e
Trimestre]]*2+Tableau1[[#This Row],[€ TTC
3e et 4e
Trimestre]]*2</f>
        <v>2016</v>
      </c>
      <c r="K69" s="16">
        <f>Tableau1[[#This Row],[Total € TTC]]/1.2</f>
        <v>1680</v>
      </c>
    </row>
    <row r="70" spans="1:11" ht="20.100000000000001" customHeight="1" x14ac:dyDescent="0.2">
      <c r="A70" s="24">
        <v>60</v>
      </c>
      <c r="B70" s="11">
        <v>45869</v>
      </c>
      <c r="C70" s="23">
        <v>45291</v>
      </c>
      <c r="D70" s="21" t="s">
        <v>13</v>
      </c>
      <c r="E70" s="15">
        <v>6</v>
      </c>
      <c r="F70" s="15">
        <f>1200/Tableau1[[#This Row],[Logements]]</f>
        <v>200</v>
      </c>
      <c r="G70" s="15">
        <f>1200/Tableau1[[#This Row],[Logements]]</f>
        <v>200</v>
      </c>
      <c r="H70" s="16">
        <f>Tableau1[[#This Row],[€ TTC / LP
1er semestre]]*Tableau1[[#This Row],[Logements]]/4</f>
        <v>300</v>
      </c>
      <c r="I70" s="16">
        <f>Tableau1[[#This Row],[€ TTC / LP
2e semestre]]*Tableau1[[#This Row],[Logements]]/4</f>
        <v>300</v>
      </c>
      <c r="J70" s="17">
        <f>Tableau1[[#This Row],[€ TTC
1er et 2e
Trimestre]]*2+Tableau1[[#This Row],[€ TTC
3e et 4e
Trimestre]]*2</f>
        <v>1200</v>
      </c>
      <c r="K70" s="16">
        <f>Tableau1[[#This Row],[Total € TTC]]/1.2</f>
        <v>1000</v>
      </c>
    </row>
    <row r="71" spans="1:11" ht="20.100000000000001" customHeight="1" x14ac:dyDescent="0.2">
      <c r="A71" s="10">
        <v>61</v>
      </c>
      <c r="B71" s="11">
        <v>45930</v>
      </c>
      <c r="C71" s="30">
        <v>45473</v>
      </c>
      <c r="D71" s="13" t="s">
        <v>11</v>
      </c>
      <c r="E71" s="15">
        <v>36</v>
      </c>
      <c r="F71" s="15">
        <v>168</v>
      </c>
      <c r="G71" s="15">
        <v>168</v>
      </c>
      <c r="H71" s="16">
        <f>Tableau1[[#This Row],[€ TTC / LP
1er semestre]]*Tableau1[[#This Row],[Logements]]/4</f>
        <v>1512</v>
      </c>
      <c r="I71" s="16">
        <f>Tableau1[[#This Row],[€ TTC / LP
2e semestre]]*Tableau1[[#This Row],[Logements]]/4</f>
        <v>1512</v>
      </c>
      <c r="J71" s="17">
        <f>Tableau1[[#This Row],[€ TTC
1er et 2e
Trimestre]]*2+Tableau1[[#This Row],[€ TTC
3e et 4e
Trimestre]]*2</f>
        <v>6048</v>
      </c>
      <c r="K71" s="16">
        <f>Tableau1[[#This Row],[Total € TTC]]/1.2</f>
        <v>5040</v>
      </c>
    </row>
    <row r="72" spans="1:11" ht="20.100000000000001" customHeight="1" x14ac:dyDescent="0.2">
      <c r="A72" s="10">
        <v>62</v>
      </c>
      <c r="B72" s="11">
        <v>45958</v>
      </c>
      <c r="C72" s="30">
        <v>45473</v>
      </c>
      <c r="D72" s="13" t="s">
        <v>11</v>
      </c>
      <c r="E72" s="15">
        <v>49</v>
      </c>
      <c r="F72" s="15">
        <v>168</v>
      </c>
      <c r="G72" s="15">
        <v>168</v>
      </c>
      <c r="H72" s="16">
        <f>Tableau1[[#This Row],[€ TTC / LP
1er semestre]]*Tableau1[[#This Row],[Logements]]/4</f>
        <v>2058</v>
      </c>
      <c r="I72" s="16">
        <f>Tableau1[[#This Row],[€ TTC / LP
2e semestre]]*Tableau1[[#This Row],[Logements]]/4</f>
        <v>2058</v>
      </c>
      <c r="J72" s="17">
        <f>Tableau1[[#This Row],[€ TTC
1er et 2e
Trimestre]]*2+Tableau1[[#This Row],[€ TTC
3e et 4e
Trimestre]]*2</f>
        <v>8232</v>
      </c>
      <c r="K72" s="16">
        <f>Tableau1[[#This Row],[Total € TTC]]/1.2</f>
        <v>6860</v>
      </c>
    </row>
    <row r="73" spans="1:11" ht="20.100000000000001" customHeight="1" x14ac:dyDescent="0.2">
      <c r="A73" s="10">
        <v>63</v>
      </c>
      <c r="B73" s="11">
        <v>45965</v>
      </c>
      <c r="C73" s="30">
        <v>45473</v>
      </c>
      <c r="D73" s="19" t="s">
        <v>12</v>
      </c>
      <c r="E73" s="15">
        <v>17</v>
      </c>
      <c r="F73" s="15">
        <f>540/Tableau1[[#This Row],[Logements]]</f>
        <v>31.764705882352942</v>
      </c>
      <c r="G73" s="15">
        <f>540/Tableau1[[#This Row],[Logements]]</f>
        <v>31.764705882352942</v>
      </c>
      <c r="H73" s="16">
        <f>Tableau1[[#This Row],[€ TTC / LP
1er semestre]]*Tableau1[[#This Row],[Logements]]/4</f>
        <v>135</v>
      </c>
      <c r="I73" s="16">
        <f>Tableau1[[#This Row],[€ TTC / LP
2e semestre]]*Tableau1[[#This Row],[Logements]]/4</f>
        <v>135</v>
      </c>
      <c r="J73" s="17">
        <f>Tableau1[[#This Row],[€ TTC
1er et 2e
Trimestre]]*2+Tableau1[[#This Row],[€ TTC
3e et 4e
Trimestre]]*2</f>
        <v>540</v>
      </c>
      <c r="K73" s="16">
        <f>Tableau1[[#This Row],[Total € TTC]]/1.2</f>
        <v>450</v>
      </c>
    </row>
    <row r="74" spans="1:11" ht="20.100000000000001" customHeight="1" x14ac:dyDescent="0.2">
      <c r="A74" s="10">
        <v>64</v>
      </c>
      <c r="B74" s="11">
        <v>45985</v>
      </c>
      <c r="C74" s="30">
        <v>45473</v>
      </c>
      <c r="D74" s="13" t="s">
        <v>11</v>
      </c>
      <c r="E74" s="15">
        <v>21</v>
      </c>
      <c r="F74" s="15">
        <v>168</v>
      </c>
      <c r="G74" s="15">
        <v>168</v>
      </c>
      <c r="H74" s="16">
        <f>Tableau1[[#This Row],[€ TTC / LP
1er semestre]]*Tableau1[[#This Row],[Logements]]/4</f>
        <v>882</v>
      </c>
      <c r="I74" s="16">
        <f>Tableau1[[#This Row],[€ TTC / LP
2e semestre]]*Tableau1[[#This Row],[Logements]]/4</f>
        <v>882</v>
      </c>
      <c r="J74" s="17">
        <f>Tableau1[[#This Row],[€ TTC
1er et 2e
Trimestre]]*2+Tableau1[[#This Row],[€ TTC
3e et 4e
Trimestre]]*2</f>
        <v>3528</v>
      </c>
      <c r="K74" s="16">
        <f>Tableau1[[#This Row],[Total € TTC]]/1.2</f>
        <v>2940</v>
      </c>
    </row>
    <row r="75" spans="1:11" ht="20.100000000000001" customHeight="1" x14ac:dyDescent="0.2">
      <c r="A75" s="24">
        <v>65</v>
      </c>
      <c r="B75" s="11">
        <v>46000</v>
      </c>
      <c r="C75" s="23">
        <v>45291</v>
      </c>
      <c r="D75" s="13" t="s">
        <v>11</v>
      </c>
      <c r="E75" s="15">
        <v>10</v>
      </c>
      <c r="F75" s="15">
        <v>168</v>
      </c>
      <c r="G75" s="15">
        <v>168</v>
      </c>
      <c r="H75" s="16">
        <f>Tableau1[[#This Row],[€ TTC / LP
1er semestre]]*Tableau1[[#This Row],[Logements]]/4</f>
        <v>420</v>
      </c>
      <c r="I75" s="16">
        <f>Tableau1[[#This Row],[€ TTC / LP
2e semestre]]*Tableau1[[#This Row],[Logements]]/4</f>
        <v>420</v>
      </c>
      <c r="J75" s="17">
        <f>Tableau1[[#This Row],[€ TTC
1er et 2e
Trimestre]]*2+Tableau1[[#This Row],[€ TTC
3e et 4e
Trimestre]]*2</f>
        <v>1680</v>
      </c>
      <c r="K75" s="16">
        <f>Tableau1[[#This Row],[Total € TTC]]/1.2</f>
        <v>1400</v>
      </c>
    </row>
    <row r="76" spans="1:11" ht="20.100000000000001" customHeight="1" x14ac:dyDescent="0.2">
      <c r="A76" s="24">
        <v>66</v>
      </c>
      <c r="B76" s="11">
        <v>46006</v>
      </c>
      <c r="C76" s="23">
        <v>45291</v>
      </c>
      <c r="D76" s="13" t="s">
        <v>11</v>
      </c>
      <c r="E76" s="15">
        <v>10</v>
      </c>
      <c r="F76" s="15">
        <v>168</v>
      </c>
      <c r="G76" s="15">
        <v>168</v>
      </c>
      <c r="H76" s="16">
        <f>Tableau1[[#This Row],[€ TTC / LP
1er semestre]]*Tableau1[[#This Row],[Logements]]/4</f>
        <v>420</v>
      </c>
      <c r="I76" s="16">
        <f>Tableau1[[#This Row],[€ TTC / LP
2e semestre]]*Tableau1[[#This Row],[Logements]]/4</f>
        <v>420</v>
      </c>
      <c r="J76" s="17">
        <f>Tableau1[[#This Row],[€ TTC
1er et 2e
Trimestre]]*2+Tableau1[[#This Row],[€ TTC
3e et 4e
Trimestre]]*2</f>
        <v>1680</v>
      </c>
      <c r="K76" s="16">
        <f>Tableau1[[#This Row],[Total € TTC]]/1.2</f>
        <v>1400</v>
      </c>
    </row>
    <row r="77" spans="1:11" ht="20.100000000000001" customHeight="1" x14ac:dyDescent="0.2">
      <c r="A77" s="34">
        <v>67</v>
      </c>
      <c r="B77" s="35" t="s">
        <v>19</v>
      </c>
      <c r="C77" s="30">
        <v>45473</v>
      </c>
      <c r="D77" s="13" t="s">
        <v>11</v>
      </c>
      <c r="E77" s="15">
        <v>24</v>
      </c>
      <c r="F77" s="15">
        <v>168</v>
      </c>
      <c r="G77" s="15">
        <v>168</v>
      </c>
      <c r="H77" s="16">
        <f>Tableau1[[#This Row],[€ TTC / LP
1er semestre]]*Tableau1[[#This Row],[Logements]]/4</f>
        <v>1008</v>
      </c>
      <c r="I77" s="16">
        <f>Tableau1[[#This Row],[€ TTC / LP
2e semestre]]*Tableau1[[#This Row],[Logements]]/4</f>
        <v>1008</v>
      </c>
      <c r="J77" s="17">
        <f>Tableau1[[#This Row],[€ TTC
1er et 2e
Trimestre]]*2+Tableau1[[#This Row],[€ TTC
3e et 4e
Trimestre]]*2</f>
        <v>4032</v>
      </c>
      <c r="K77" s="16">
        <f>Tableau1[[#This Row],[Total € TTC]]/1.2</f>
        <v>3360</v>
      </c>
    </row>
    <row r="78" spans="1:11" ht="20.100000000000001" customHeight="1" x14ac:dyDescent="0.2">
      <c r="A78" s="24">
        <v>68</v>
      </c>
      <c r="B78" s="11">
        <v>46010</v>
      </c>
      <c r="C78" s="23">
        <v>45291</v>
      </c>
      <c r="D78" s="13" t="s">
        <v>11</v>
      </c>
      <c r="E78" s="15">
        <v>12</v>
      </c>
      <c r="F78" s="15">
        <v>168</v>
      </c>
      <c r="G78" s="15">
        <v>168</v>
      </c>
      <c r="H78" s="16">
        <f>Tableau1[[#This Row],[€ TTC / LP
1er semestre]]*Tableau1[[#This Row],[Logements]]/4</f>
        <v>504</v>
      </c>
      <c r="I78" s="16">
        <f>Tableau1[[#This Row],[€ TTC / LP
2e semestre]]*Tableau1[[#This Row],[Logements]]/4</f>
        <v>504</v>
      </c>
      <c r="J78" s="17">
        <f>Tableau1[[#This Row],[€ TTC
1er et 2e
Trimestre]]*2+Tableau1[[#This Row],[€ TTC
3e et 4e
Trimestre]]*2</f>
        <v>2016</v>
      </c>
      <c r="K78" s="16">
        <f>Tableau1[[#This Row],[Total € TTC]]/1.2</f>
        <v>1680</v>
      </c>
    </row>
    <row r="79" spans="1:11" ht="18" x14ac:dyDescent="0.2">
      <c r="A79" s="34">
        <v>69</v>
      </c>
      <c r="B79" s="35" t="s">
        <v>20</v>
      </c>
      <c r="C79" s="30">
        <v>45473</v>
      </c>
      <c r="D79" s="13" t="s">
        <v>11</v>
      </c>
      <c r="E79" s="15">
        <v>28</v>
      </c>
      <c r="F79" s="15">
        <v>168</v>
      </c>
      <c r="G79" s="15">
        <v>168</v>
      </c>
      <c r="H79" s="16">
        <f>Tableau1[[#This Row],[€ TTC / LP
1er semestre]]*Tableau1[[#This Row],[Logements]]/4</f>
        <v>1176</v>
      </c>
      <c r="I79" s="16">
        <f>Tableau1[[#This Row],[€ TTC / LP
2e semestre]]*Tableau1[[#This Row],[Logements]]/4</f>
        <v>1176</v>
      </c>
      <c r="J79" s="17">
        <f>Tableau1[[#This Row],[€ TTC
1er et 2e
Trimestre]]*2+Tableau1[[#This Row],[€ TTC
3e et 4e
Trimestre]]*2</f>
        <v>4704</v>
      </c>
      <c r="K79" s="16">
        <f>Tableau1[[#This Row],[Total € TTC]]/1.2</f>
        <v>3920</v>
      </c>
    </row>
    <row r="80" spans="1:11" ht="20.100000000000001" customHeight="1" x14ac:dyDescent="0.2">
      <c r="A80" s="24">
        <v>70</v>
      </c>
      <c r="B80" s="35" t="s">
        <v>21</v>
      </c>
      <c r="C80" s="30">
        <v>45473</v>
      </c>
      <c r="D80" s="13" t="s">
        <v>11</v>
      </c>
      <c r="E80" s="15">
        <v>20</v>
      </c>
      <c r="F80" s="15">
        <v>168</v>
      </c>
      <c r="G80" s="15">
        <v>168</v>
      </c>
      <c r="H80" s="16">
        <f>Tableau1[[#This Row],[€ TTC / LP
1er semestre]]*Tableau1[[#This Row],[Logements]]/4</f>
        <v>840</v>
      </c>
      <c r="I80" s="16">
        <f>Tableau1[[#This Row],[€ TTC / LP
2e semestre]]*Tableau1[[#This Row],[Logements]]/4</f>
        <v>840</v>
      </c>
      <c r="J80" s="17">
        <f>Tableau1[[#This Row],[€ TTC
1er et 2e
Trimestre]]*2+Tableau1[[#This Row],[€ TTC
3e et 4e
Trimestre]]*2</f>
        <v>3360</v>
      </c>
      <c r="K80" s="16">
        <f>Tableau1[[#This Row],[Total € TTC]]/1.2</f>
        <v>2800</v>
      </c>
    </row>
    <row r="81" spans="1:12" ht="20.100000000000001" customHeight="1" x14ac:dyDescent="0.2">
      <c r="A81" s="34">
        <v>71</v>
      </c>
      <c r="B81" s="36" t="s">
        <v>22</v>
      </c>
      <c r="C81" s="37">
        <v>45473</v>
      </c>
      <c r="D81" s="19" t="s">
        <v>12</v>
      </c>
      <c r="E81" s="38">
        <v>3</v>
      </c>
      <c r="F81" s="38">
        <f>540/Tableau1[[#This Row],[Logements]]</f>
        <v>180</v>
      </c>
      <c r="G81" s="38">
        <f>540/Tableau1[[#This Row],[Logements]]</f>
        <v>180</v>
      </c>
      <c r="H81" s="16">
        <f>Tableau1[[#This Row],[€ TTC / LP
1er semestre]]*Tableau1[[#This Row],[Logements]]/4</f>
        <v>135</v>
      </c>
      <c r="I81" s="16">
        <f>Tableau1[[#This Row],[€ TTC / LP
2e semestre]]*Tableau1[[#This Row],[Logements]]/4</f>
        <v>135</v>
      </c>
      <c r="J81" s="17">
        <f>Tableau1[[#This Row],[€ TTC
1er et 2e
Trimestre]]*2+Tableau1[[#This Row],[€ TTC
3e et 4e
Trimestre]]*2</f>
        <v>540</v>
      </c>
      <c r="K81" s="16">
        <f>Tableau1[[#This Row],[Total € TTC]]/1.2</f>
        <v>450</v>
      </c>
    </row>
    <row r="82" spans="1:12" ht="20.100000000000001" customHeight="1" x14ac:dyDescent="0.2">
      <c r="A82" s="34">
        <v>72</v>
      </c>
      <c r="B82" s="36" t="s">
        <v>23</v>
      </c>
      <c r="C82" s="23">
        <v>45291</v>
      </c>
      <c r="D82" s="13" t="s">
        <v>11</v>
      </c>
      <c r="E82" s="38">
        <v>14</v>
      </c>
      <c r="F82" s="38">
        <v>168</v>
      </c>
      <c r="G82" s="38">
        <v>168</v>
      </c>
      <c r="H82" s="16">
        <f>Tableau1[[#This Row],[€ TTC / LP
1er semestre]]*Tableau1[[#This Row],[Logements]]/4</f>
        <v>588</v>
      </c>
      <c r="I82" s="16">
        <f>Tableau1[[#This Row],[€ TTC / LP
2e semestre]]*Tableau1[[#This Row],[Logements]]/4</f>
        <v>588</v>
      </c>
      <c r="J82" s="17">
        <f>Tableau1[[#This Row],[€ TTC
1er et 2e
Trimestre]]*2+Tableau1[[#This Row],[€ TTC
3e et 4e
Trimestre]]*2</f>
        <v>2352</v>
      </c>
      <c r="K82" s="16">
        <f>Tableau1[[#This Row],[Total € TTC]]/1.2</f>
        <v>1960</v>
      </c>
    </row>
    <row r="83" spans="1:12" ht="20.100000000000001" customHeight="1" x14ac:dyDescent="0.2">
      <c r="A83" s="39"/>
      <c r="B83" s="40"/>
      <c r="C83" s="41"/>
      <c r="D83" s="42"/>
      <c r="E83" s="43"/>
      <c r="F83" s="44"/>
      <c r="G83" s="44"/>
      <c r="H83" s="45"/>
      <c r="I83" s="45"/>
      <c r="J83" s="46"/>
      <c r="K83" s="46"/>
    </row>
    <row r="84" spans="1:12" ht="20.100000000000001" customHeight="1" x14ac:dyDescent="0.2">
      <c r="A84" s="47"/>
      <c r="B84" s="40"/>
      <c r="C84" s="41"/>
      <c r="D84" s="48" t="s">
        <v>24</v>
      </c>
      <c r="E84" s="49">
        <f>+SUM(Tableau1[Logements])</f>
        <v>1142</v>
      </c>
      <c r="F84" s="49"/>
      <c r="G84" s="49"/>
      <c r="H84" s="50">
        <f>+SUM(Tableau1[€ TTC
1er et 2e
Trimestre])</f>
        <v>45459</v>
      </c>
      <c r="I84" s="50">
        <f>+SUM(Tableau1[€ TTC
3e et 4e
Trimestre])</f>
        <v>46275</v>
      </c>
      <c r="J84" s="50">
        <f>+SUM(Tableau1[Total € TTC])</f>
        <v>183468</v>
      </c>
      <c r="K84" s="50">
        <f>+SUM(Tableau1[Total € HT])</f>
        <v>152890</v>
      </c>
      <c r="L84" s="25"/>
    </row>
    <row r="85" spans="1:12" ht="20.100000000000001" customHeight="1" x14ac:dyDescent="0.2">
      <c r="A85" s="47"/>
      <c r="B85" s="40"/>
      <c r="C85" s="41"/>
      <c r="D85" s="51" t="s">
        <v>25</v>
      </c>
      <c r="E85" s="52">
        <f>E84-E86-E81-E73-E43-E40-E15</f>
        <v>1014</v>
      </c>
      <c r="F85" s="52"/>
      <c r="G85" s="52"/>
      <c r="H85" s="53">
        <f t="shared" ref="H85:K85" si="0">H84-H86-H81-H73-H43-H40-H15</f>
        <v>41184</v>
      </c>
      <c r="I85" s="53">
        <f t="shared" si="0"/>
        <v>42000</v>
      </c>
      <c r="J85" s="53">
        <f t="shared" si="0"/>
        <v>166368</v>
      </c>
      <c r="K85" s="53">
        <f t="shared" si="0"/>
        <v>138640</v>
      </c>
      <c r="L85" s="25"/>
    </row>
    <row r="86" spans="1:12" ht="20.100000000000001" customHeight="1" x14ac:dyDescent="0.2">
      <c r="A86" s="47"/>
      <c r="B86" s="40"/>
      <c r="C86" s="41"/>
      <c r="D86" s="51" t="s">
        <v>26</v>
      </c>
      <c r="E86" s="52">
        <f>E70+E63+E54+E50+E47+E39+E38+E33+E30+E25+E23+E17</f>
        <v>64</v>
      </c>
      <c r="F86" s="52"/>
      <c r="G86" s="52"/>
      <c r="H86" s="53">
        <f t="shared" ref="H86:M86" si="1">H70+H63+H54+H50+H47+H39+H38+H33+H30+H25+H23+H17</f>
        <v>3600</v>
      </c>
      <c r="I86" s="53">
        <f t="shared" si="1"/>
        <v>3600</v>
      </c>
      <c r="J86" s="53">
        <f t="shared" si="1"/>
        <v>14400</v>
      </c>
      <c r="K86" s="53">
        <f t="shared" si="1"/>
        <v>12000</v>
      </c>
      <c r="L86" s="25"/>
    </row>
    <row r="87" spans="1:12" ht="20.100000000000001" customHeight="1" x14ac:dyDescent="0.2">
      <c r="A87" s="54"/>
      <c r="B87" s="40"/>
      <c r="C87" s="55"/>
      <c r="D87" s="48"/>
      <c r="E87" s="56"/>
      <c r="F87" s="57"/>
      <c r="G87" s="57"/>
      <c r="H87" s="58"/>
      <c r="I87" s="58"/>
      <c r="J87" s="59"/>
      <c r="K87" s="60"/>
      <c r="L87" s="25"/>
    </row>
    <row r="88" spans="1:12" ht="20.100000000000001" customHeight="1" x14ac:dyDescent="0.2">
      <c r="A88" s="54"/>
      <c r="B88" s="40"/>
      <c r="C88" s="55"/>
      <c r="D88" s="61" t="s">
        <v>27</v>
      </c>
      <c r="E88" s="62">
        <f>J84/E84</f>
        <v>160.65499124343256</v>
      </c>
      <c r="F88" s="57"/>
      <c r="G88" s="57"/>
      <c r="H88" s="58"/>
      <c r="I88" s="58"/>
      <c r="J88" s="59"/>
      <c r="K88" s="60"/>
      <c r="L88" s="25"/>
    </row>
    <row r="89" spans="1:12" ht="20.100000000000001" customHeight="1" x14ac:dyDescent="0.2">
      <c r="A89" s="54"/>
      <c r="B89" s="40"/>
      <c r="C89" s="55"/>
      <c r="D89" s="63" t="s">
        <v>28</v>
      </c>
      <c r="E89" s="64">
        <f>J85/E85</f>
        <v>164.07100591715977</v>
      </c>
      <c r="F89" s="57"/>
      <c r="G89" s="57"/>
      <c r="H89" s="58"/>
      <c r="I89" s="58"/>
      <c r="J89" s="59"/>
      <c r="K89" s="60"/>
      <c r="L89" s="25"/>
    </row>
    <row r="90" spans="1:12" ht="20.100000000000001" customHeight="1" x14ac:dyDescent="0.2">
      <c r="A90" s="54"/>
      <c r="B90" s="40"/>
      <c r="C90" s="55"/>
      <c r="D90" s="63" t="s">
        <v>29</v>
      </c>
      <c r="E90" s="64">
        <f>J86/E86</f>
        <v>225</v>
      </c>
      <c r="F90" s="57"/>
      <c r="G90" s="57"/>
      <c r="H90" s="58"/>
      <c r="I90" s="58"/>
      <c r="J90" s="59"/>
      <c r="K90" s="60"/>
      <c r="L90" s="25"/>
    </row>
    <row r="91" spans="1:12" ht="20.100000000000001" customHeight="1" x14ac:dyDescent="0.2">
      <c r="A91" s="65"/>
      <c r="B91" s="66"/>
      <c r="C91" s="67"/>
      <c r="D91" s="68"/>
      <c r="E91" s="69"/>
      <c r="F91" s="57"/>
      <c r="G91" s="57"/>
      <c r="H91" s="58"/>
      <c r="I91" s="70"/>
      <c r="J91" s="59"/>
      <c r="K91" s="59"/>
    </row>
    <row r="92" spans="1:12" ht="18" x14ac:dyDescent="0.25">
      <c r="D92" s="71"/>
      <c r="E92" s="71"/>
    </row>
  </sheetData>
  <mergeCells count="1">
    <mergeCell ref="B3:J5"/>
  </mergeCells>
  <conditionalFormatting sqref="A62:A66 A68:A70 B12:C20 B91:C91 B62:B63 B73 B77 B22:C22 B24:C24 B26:C28 B31:C31 B34:C46 B48:C49 B52:G52 D55:G55 D57:G57 B66:B68 B71 B79:B80 H83:K83 I12:K82 E54:G54 E91 H87:K91">
    <cfRule type="expression" dxfId="103" priority="88">
      <formula>ISBLANK(A12)</formula>
    </cfRule>
  </conditionalFormatting>
  <conditionalFormatting sqref="D22:G22 D21 D24:G24 D26:G28 D31:G31 D48:G49 D12:G20 D29:D30 D32:D33 D34:G46">
    <cfRule type="expression" dxfId="102" priority="86">
      <formula>ISBLANK(D12)</formula>
    </cfRule>
  </conditionalFormatting>
  <conditionalFormatting sqref="B57">
    <cfRule type="expression" dxfId="101" priority="87">
      <formula>ISBLANK(B57)</formula>
    </cfRule>
  </conditionalFormatting>
  <conditionalFormatting sqref="A62:A91 B72 B74 C54:C55 D79:E79 D68:E68 E62:G63 E80:E81 C57 C62:C63 C66:C68 E66:E67 F66:G68 E71:G74 C71:C74 C77 E77:G77 F79:G81 C79:C81 B83:G83 H12:H82 B81:B82 B84:C90 E84:E90 F87:G91 F84:K86">
    <cfRule type="expression" dxfId="100" priority="85">
      <formula>ISBLANK(A12)</formula>
    </cfRule>
  </conditionalFormatting>
  <conditionalFormatting sqref="D62">
    <cfRule type="expression" dxfId="99" priority="84">
      <formula>ISBLANK(D62)</formula>
    </cfRule>
  </conditionalFormatting>
  <conditionalFormatting sqref="D67">
    <cfRule type="expression" dxfId="98" priority="83">
      <formula>ISBLANK(D67)</formula>
    </cfRule>
  </conditionalFormatting>
  <conditionalFormatting sqref="D66">
    <cfRule type="expression" dxfId="97" priority="82">
      <formula>ISBLANK(D66)</formula>
    </cfRule>
  </conditionalFormatting>
  <conditionalFormatting sqref="D71">
    <cfRule type="expression" dxfId="96" priority="81">
      <formula>ISBLANK(D71)</formula>
    </cfRule>
  </conditionalFormatting>
  <conditionalFormatting sqref="D73">
    <cfRule type="expression" dxfId="95" priority="80">
      <formula>ISBLANK(D73)</formula>
    </cfRule>
  </conditionalFormatting>
  <conditionalFormatting sqref="D72">
    <cfRule type="expression" dxfId="94" priority="79">
      <formula>ISBLANK(D72)</formula>
    </cfRule>
  </conditionalFormatting>
  <conditionalFormatting sqref="D74:D76">
    <cfRule type="expression" dxfId="93" priority="78">
      <formula>ISBLANK(D74)</formula>
    </cfRule>
  </conditionalFormatting>
  <conditionalFormatting sqref="D77">
    <cfRule type="expression" dxfId="92" priority="77">
      <formula>ISBLANK(D77)</formula>
    </cfRule>
  </conditionalFormatting>
  <conditionalFormatting sqref="D80">
    <cfRule type="expression" dxfId="91" priority="76">
      <formula>ISBLANK(D80)</formula>
    </cfRule>
  </conditionalFormatting>
  <conditionalFormatting sqref="D81">
    <cfRule type="expression" dxfId="90" priority="75">
      <formula>ISBLANK(D81)</formula>
    </cfRule>
  </conditionalFormatting>
  <conditionalFormatting sqref="B21">
    <cfRule type="expression" dxfId="89" priority="74">
      <formula>ISBLANK(B21)</formula>
    </cfRule>
  </conditionalFormatting>
  <conditionalFormatting sqref="C21">
    <cfRule type="expression" dxfId="88" priority="73">
      <formula>ISBLANK(C21)</formula>
    </cfRule>
  </conditionalFormatting>
  <conditionalFormatting sqref="E21:G21">
    <cfRule type="expression" dxfId="87" priority="72">
      <formula>ISBLANK(E21)</formula>
    </cfRule>
  </conditionalFormatting>
  <conditionalFormatting sqref="B23">
    <cfRule type="expression" dxfId="86" priority="71">
      <formula>ISBLANK(B23)</formula>
    </cfRule>
  </conditionalFormatting>
  <conditionalFormatting sqref="E23:G23">
    <cfRule type="expression" dxfId="85" priority="70">
      <formula>ISBLANK(E23)</formula>
    </cfRule>
  </conditionalFormatting>
  <conditionalFormatting sqref="B25">
    <cfRule type="expression" dxfId="84" priority="69">
      <formula>ISBLANK(B25)</formula>
    </cfRule>
  </conditionalFormatting>
  <conditionalFormatting sqref="E25:G25">
    <cfRule type="expression" dxfId="83" priority="68">
      <formula>ISBLANK(E25)</formula>
    </cfRule>
  </conditionalFormatting>
  <conditionalFormatting sqref="B30">
    <cfRule type="expression" dxfId="82" priority="67">
      <formula>ISBLANK(B30)</formula>
    </cfRule>
  </conditionalFormatting>
  <conditionalFormatting sqref="E29:G30">
    <cfRule type="expression" dxfId="81" priority="66">
      <formula>ISBLANK(E29)</formula>
    </cfRule>
  </conditionalFormatting>
  <conditionalFormatting sqref="B32:B33">
    <cfRule type="expression" dxfId="80" priority="65">
      <formula>ISBLANK(B32)</formula>
    </cfRule>
  </conditionalFormatting>
  <conditionalFormatting sqref="E32:G33">
    <cfRule type="expression" dxfId="79" priority="64">
      <formula>ISBLANK(E32)</formula>
    </cfRule>
  </conditionalFormatting>
  <conditionalFormatting sqref="B47">
    <cfRule type="expression" dxfId="78" priority="63">
      <formula>ISBLANK(B47)</formula>
    </cfRule>
  </conditionalFormatting>
  <conditionalFormatting sqref="E47:G47">
    <cfRule type="expression" dxfId="77" priority="62">
      <formula>ISBLANK(E47)</formula>
    </cfRule>
  </conditionalFormatting>
  <conditionalFormatting sqref="B50:B51">
    <cfRule type="expression" dxfId="76" priority="61">
      <formula>ISBLANK(B50)</formula>
    </cfRule>
  </conditionalFormatting>
  <conditionalFormatting sqref="E50:G51">
    <cfRule type="expression" dxfId="75" priority="60">
      <formula>ISBLANK(E50)</formula>
    </cfRule>
  </conditionalFormatting>
  <conditionalFormatting sqref="B53">
    <cfRule type="expression" dxfId="74" priority="59">
      <formula>ISBLANK(B53)</formula>
    </cfRule>
  </conditionalFormatting>
  <conditionalFormatting sqref="E53:G53">
    <cfRule type="expression" dxfId="73" priority="58">
      <formula>ISBLANK(E53)</formula>
    </cfRule>
  </conditionalFormatting>
  <conditionalFormatting sqref="E56:G56">
    <cfRule type="expression" dxfId="72" priority="57">
      <formula>ISBLANK(E56)</formula>
    </cfRule>
  </conditionalFormatting>
  <conditionalFormatting sqref="B59:B61">
    <cfRule type="expression" dxfId="71" priority="56">
      <formula>ISBLANK(B59)</formula>
    </cfRule>
  </conditionalFormatting>
  <conditionalFormatting sqref="E60:G61">
    <cfRule type="expression" dxfId="70" priority="54">
      <formula>ISBLANK(E60)</formula>
    </cfRule>
  </conditionalFormatting>
  <conditionalFormatting sqref="E58:G59">
    <cfRule type="expression" dxfId="69" priority="55">
      <formula>ISBLANK(E58)</formula>
    </cfRule>
  </conditionalFormatting>
  <conditionalFormatting sqref="B64">
    <cfRule type="expression" dxfId="68" priority="53">
      <formula>ISBLANK(B64)</formula>
    </cfRule>
  </conditionalFormatting>
  <conditionalFormatting sqref="B65">
    <cfRule type="expression" dxfId="67" priority="52">
      <formula>ISBLANK(B65)</formula>
    </cfRule>
  </conditionalFormatting>
  <conditionalFormatting sqref="E64:G65">
    <cfRule type="expression" dxfId="66" priority="51">
      <formula>ISBLANK(E64)</formula>
    </cfRule>
  </conditionalFormatting>
  <conditionalFormatting sqref="B69:B70">
    <cfRule type="expression" dxfId="65" priority="50">
      <formula>ISBLANK(B69)</formula>
    </cfRule>
  </conditionalFormatting>
  <conditionalFormatting sqref="E69:G70">
    <cfRule type="expression" dxfId="64" priority="49">
      <formula>ISBLANK(E69)</formula>
    </cfRule>
  </conditionalFormatting>
  <conditionalFormatting sqref="B75:B76">
    <cfRule type="expression" dxfId="63" priority="48">
      <formula>ISBLANK(B75)</formula>
    </cfRule>
  </conditionalFormatting>
  <conditionalFormatting sqref="E75:G76">
    <cfRule type="expression" dxfId="62" priority="47">
      <formula>ISBLANK(E75)</formula>
    </cfRule>
  </conditionalFormatting>
  <conditionalFormatting sqref="B78">
    <cfRule type="expression" dxfId="61" priority="46">
      <formula>ISBLANK(B78)</formula>
    </cfRule>
  </conditionalFormatting>
  <conditionalFormatting sqref="E78:G78">
    <cfRule type="expression" dxfId="60" priority="45">
      <formula>ISBLANK(E78)</formula>
    </cfRule>
  </conditionalFormatting>
  <conditionalFormatting sqref="E82:G82">
    <cfRule type="expression" dxfId="59" priority="44">
      <formula>ISBLANK(E82)</formula>
    </cfRule>
  </conditionalFormatting>
  <conditionalFormatting sqref="D53">
    <cfRule type="expression" dxfId="58" priority="43">
      <formula>ISBLANK(D53)</formula>
    </cfRule>
  </conditionalFormatting>
  <conditionalFormatting sqref="D58:D59">
    <cfRule type="expression" dxfId="57" priority="42">
      <formula>ISBLANK(D58)</formula>
    </cfRule>
  </conditionalFormatting>
  <conditionalFormatting sqref="D60">
    <cfRule type="expression" dxfId="56" priority="41">
      <formula>ISBLANK(D60)</formula>
    </cfRule>
  </conditionalFormatting>
  <conditionalFormatting sqref="D61">
    <cfRule type="expression" dxfId="55" priority="40">
      <formula>ISBLANK(D61)</formula>
    </cfRule>
  </conditionalFormatting>
  <conditionalFormatting sqref="D64">
    <cfRule type="expression" dxfId="54" priority="39">
      <formula>ISBLANK(D64)</formula>
    </cfRule>
  </conditionalFormatting>
  <conditionalFormatting sqref="D65">
    <cfRule type="expression" dxfId="53" priority="38">
      <formula>ISBLANK(D65)</formula>
    </cfRule>
  </conditionalFormatting>
  <conditionalFormatting sqref="D69">
    <cfRule type="expression" dxfId="52" priority="37">
      <formula>ISBLANK(D69)</formula>
    </cfRule>
  </conditionalFormatting>
  <conditionalFormatting sqref="D78">
    <cfRule type="expression" dxfId="51" priority="36">
      <formula>ISBLANK(D78)</formula>
    </cfRule>
  </conditionalFormatting>
  <conditionalFormatting sqref="D82">
    <cfRule type="expression" dxfId="50" priority="35">
      <formula>ISBLANK(D82)</formula>
    </cfRule>
  </conditionalFormatting>
  <conditionalFormatting sqref="D23">
    <cfRule type="expression" dxfId="49" priority="34">
      <formula>ISBLANK(D23)</formula>
    </cfRule>
  </conditionalFormatting>
  <conditionalFormatting sqref="D25">
    <cfRule type="expression" dxfId="48" priority="33">
      <formula>ISBLANK(D25)</formula>
    </cfRule>
  </conditionalFormatting>
  <conditionalFormatting sqref="D47">
    <cfRule type="expression" dxfId="47" priority="32">
      <formula>ISBLANK(D47)</formula>
    </cfRule>
  </conditionalFormatting>
  <conditionalFormatting sqref="D50">
    <cfRule type="expression" dxfId="46" priority="31">
      <formula>ISBLANK(D50)</formula>
    </cfRule>
  </conditionalFormatting>
  <conditionalFormatting sqref="D54">
    <cfRule type="expression" dxfId="45" priority="30">
      <formula>ISBLANK(D54)</formula>
    </cfRule>
  </conditionalFormatting>
  <conditionalFormatting sqref="D63">
    <cfRule type="expression" dxfId="44" priority="29">
      <formula>ISBLANK(D63)</formula>
    </cfRule>
  </conditionalFormatting>
  <conditionalFormatting sqref="D70">
    <cfRule type="expression" dxfId="43" priority="28">
      <formula>ISBLANK(D70)</formula>
    </cfRule>
  </conditionalFormatting>
  <conditionalFormatting sqref="C23">
    <cfRule type="expression" dxfId="42" priority="27">
      <formula>ISBLANK(C23)</formula>
    </cfRule>
  </conditionalFormatting>
  <conditionalFormatting sqref="C25">
    <cfRule type="expression" dxfId="41" priority="26">
      <formula>ISBLANK(C25)</formula>
    </cfRule>
  </conditionalFormatting>
  <conditionalFormatting sqref="C29">
    <cfRule type="expression" dxfId="40" priority="25">
      <formula>ISBLANK(C29)</formula>
    </cfRule>
  </conditionalFormatting>
  <conditionalFormatting sqref="C30">
    <cfRule type="expression" dxfId="39" priority="24">
      <formula>ISBLANK(C30)</formula>
    </cfRule>
  </conditionalFormatting>
  <conditionalFormatting sqref="C32">
    <cfRule type="expression" dxfId="38" priority="23">
      <formula>ISBLANK(C32)</formula>
    </cfRule>
  </conditionalFormatting>
  <conditionalFormatting sqref="C33">
    <cfRule type="expression" dxfId="37" priority="22">
      <formula>ISBLANK(C33)</formula>
    </cfRule>
  </conditionalFormatting>
  <conditionalFormatting sqref="C47">
    <cfRule type="expression" dxfId="36" priority="21">
      <formula>ISBLANK(C47)</formula>
    </cfRule>
  </conditionalFormatting>
  <conditionalFormatting sqref="C50">
    <cfRule type="expression" dxfId="35" priority="20">
      <formula>ISBLANK(C50)</formula>
    </cfRule>
  </conditionalFormatting>
  <conditionalFormatting sqref="C51">
    <cfRule type="expression" dxfId="34" priority="19">
      <formula>ISBLANK(C51)</formula>
    </cfRule>
  </conditionalFormatting>
  <conditionalFormatting sqref="C53">
    <cfRule type="expression" dxfId="33" priority="18">
      <formula>ISBLANK(C53)</formula>
    </cfRule>
  </conditionalFormatting>
  <conditionalFormatting sqref="C56">
    <cfRule type="expression" dxfId="32" priority="17">
      <formula>ISBLANK(C56)</formula>
    </cfRule>
  </conditionalFormatting>
  <conditionalFormatting sqref="C58">
    <cfRule type="expression" dxfId="31" priority="16">
      <formula>ISBLANK(C58)</formula>
    </cfRule>
  </conditionalFormatting>
  <conditionalFormatting sqref="C59">
    <cfRule type="expression" dxfId="30" priority="15">
      <formula>ISBLANK(C59)</formula>
    </cfRule>
  </conditionalFormatting>
  <conditionalFormatting sqref="C61">
    <cfRule type="expression" dxfId="29" priority="14">
      <formula>ISBLANK(C61)</formula>
    </cfRule>
  </conditionalFormatting>
  <conditionalFormatting sqref="C60">
    <cfRule type="expression" dxfId="28" priority="13">
      <formula>ISBLANK(C60)</formula>
    </cfRule>
  </conditionalFormatting>
  <conditionalFormatting sqref="C64">
    <cfRule type="expression" dxfId="27" priority="12">
      <formula>ISBLANK(C64)</formula>
    </cfRule>
  </conditionalFormatting>
  <conditionalFormatting sqref="C65">
    <cfRule type="expression" dxfId="26" priority="11">
      <formula>ISBLANK(C65)</formula>
    </cfRule>
  </conditionalFormatting>
  <conditionalFormatting sqref="C69">
    <cfRule type="expression" dxfId="25" priority="10">
      <formula>ISBLANK(C69)</formula>
    </cfRule>
  </conditionalFormatting>
  <conditionalFormatting sqref="C70">
    <cfRule type="expression" dxfId="24" priority="9">
      <formula>ISBLANK(C70)</formula>
    </cfRule>
  </conditionalFormatting>
  <conditionalFormatting sqref="C75">
    <cfRule type="expression" dxfId="23" priority="8">
      <formula>ISBLANK(C75)</formula>
    </cfRule>
  </conditionalFormatting>
  <conditionalFormatting sqref="C76">
    <cfRule type="expression" dxfId="22" priority="7">
      <formula>ISBLANK(C76)</formula>
    </cfRule>
  </conditionalFormatting>
  <conditionalFormatting sqref="C78">
    <cfRule type="expression" dxfId="21" priority="6">
      <formula>ISBLANK(C78)</formula>
    </cfRule>
  </conditionalFormatting>
  <conditionalFormatting sqref="C82">
    <cfRule type="expression" dxfId="20" priority="5">
      <formula>ISBLANK(C82)</formula>
    </cfRule>
  </conditionalFormatting>
  <conditionalFormatting sqref="D51">
    <cfRule type="expression" dxfId="19" priority="4">
      <formula>ISBLANK(D51)</formula>
    </cfRule>
  </conditionalFormatting>
  <conditionalFormatting sqref="D56">
    <cfRule type="expression" dxfId="18" priority="3">
      <formula>ISBLANK(D56)</formula>
    </cfRule>
  </conditionalFormatting>
  <conditionalFormatting sqref="D84:D90">
    <cfRule type="expression" dxfId="17" priority="2">
      <formula>ISBLANK(D84)</formula>
    </cfRule>
  </conditionalFormatting>
  <conditionalFormatting sqref="D91">
    <cfRule type="expression" dxfId="16" priority="1">
      <formula>ISBLANK(D91)</formula>
    </cfRule>
  </conditionalFormatting>
  <pageMargins left="0.70866141732283472" right="0.70866141732283472" top="0.74803149606299213" bottom="0.74803149606299213" header="0.31496062992125984" footer="0.31496062992125984"/>
  <pageSetup paperSize="8" scale="2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HONORAIRE AGATE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JOURDAN</dc:creator>
  <cp:lastModifiedBy>Alexandre JOURDAN</cp:lastModifiedBy>
  <dcterms:created xsi:type="dcterms:W3CDTF">2026-09-16T14:53:48Z</dcterms:created>
  <dcterms:modified xsi:type="dcterms:W3CDTF">2026-09-16T14:54:10Z</dcterms:modified>
</cp:coreProperties>
</file>