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Documents\Agate\"/>
    </mc:Choice>
  </mc:AlternateContent>
  <xr:revisionPtr revIDLastSave="0" documentId="13_ncr:1_{2E642813-0C8F-4B24-BEF9-D286227A7767}" xr6:coauthVersionLast="47" xr6:coauthVersionMax="47" xr10:uidLastSave="{00000000-0000-0000-0000-000000000000}"/>
  <bookViews>
    <workbookView xWindow="-120" yWindow="-120" windowWidth="29040" windowHeight="16440" xr2:uid="{14BE899A-BEAF-4A35-A027-D0E57642D214}"/>
  </bookViews>
  <sheets>
    <sheet name="Assurance" sheetId="1" r:id="rId1"/>
  </sheets>
  <definedNames>
    <definedName name="_Toc479584644" localSheetId="0">Assurance!#REF!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2" i="1" l="1"/>
  <c r="AM79" i="1"/>
  <c r="AM80" i="1"/>
  <c r="AK79" i="1"/>
  <c r="AK80" i="1"/>
  <c r="M72" i="1"/>
  <c r="M74" i="1"/>
  <c r="M75" i="1"/>
  <c r="D81" i="1"/>
  <c r="E81" i="1"/>
  <c r="M80" i="1"/>
  <c r="M79" i="1"/>
  <c r="AM72" i="1" l="1"/>
  <c r="AM73" i="1"/>
  <c r="AM74" i="1"/>
  <c r="AM75" i="1"/>
  <c r="AM76" i="1"/>
  <c r="AM77" i="1"/>
  <c r="AM78" i="1"/>
  <c r="AK74" i="1"/>
  <c r="AK75" i="1"/>
  <c r="AK76" i="1"/>
  <c r="AK77" i="1"/>
  <c r="AK78" i="1"/>
  <c r="M78" i="1" l="1"/>
  <c r="M77" i="1"/>
  <c r="M76" i="1"/>
  <c r="AK71" i="1"/>
  <c r="AM61" i="1"/>
  <c r="AM62" i="1"/>
  <c r="AM63" i="1"/>
  <c r="AM64" i="1"/>
  <c r="AM65" i="1"/>
  <c r="AM66" i="1"/>
  <c r="AM67" i="1"/>
  <c r="AM68" i="1"/>
  <c r="AM69" i="1"/>
  <c r="AM70" i="1"/>
  <c r="AM71" i="1"/>
  <c r="AK61" i="1"/>
  <c r="AK62" i="1"/>
  <c r="AK63" i="1"/>
  <c r="AK64" i="1"/>
  <c r="AK65" i="1"/>
  <c r="AK66" i="1"/>
  <c r="AK67" i="1"/>
  <c r="AK68" i="1"/>
  <c r="AK69" i="1"/>
  <c r="AK70" i="1"/>
  <c r="AL28" i="1"/>
  <c r="AL21" i="1"/>
  <c r="AL15" i="1"/>
  <c r="AM60" i="1"/>
  <c r="AK60" i="1"/>
  <c r="AL11" i="1"/>
  <c r="AL16" i="1"/>
  <c r="AL12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11" i="1"/>
  <c r="AM12" i="1"/>
  <c r="AM13" i="1"/>
  <c r="AM14" i="1"/>
  <c r="AM15" i="1"/>
  <c r="AM16" i="1"/>
  <c r="AM17" i="1"/>
  <c r="AL19" i="1"/>
  <c r="AL20" i="1"/>
  <c r="AL22" i="1"/>
  <c r="AL23" i="1"/>
  <c r="AL24" i="1"/>
  <c r="AL25" i="1"/>
  <c r="AL26" i="1"/>
  <c r="AL27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13" i="1"/>
  <c r="AL14" i="1"/>
  <c r="AL17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19" i="1"/>
  <c r="AK20" i="1"/>
  <c r="AK21" i="1"/>
  <c r="AK22" i="1"/>
  <c r="AK23" i="1"/>
  <c r="AK24" i="1"/>
  <c r="AK25" i="1"/>
  <c r="AK26" i="1"/>
  <c r="AK11" i="1"/>
  <c r="AK12" i="1"/>
  <c r="AK13" i="1"/>
  <c r="AK14" i="1"/>
  <c r="AK15" i="1"/>
  <c r="AK16" i="1"/>
  <c r="AK17" i="1"/>
  <c r="AM18" i="1"/>
  <c r="AF18" i="1"/>
  <c r="AL18" i="1"/>
  <c r="AE18" i="1"/>
  <c r="AK18" i="1"/>
  <c r="AO82" i="1"/>
  <c r="L81" i="1"/>
  <c r="J81" i="1"/>
  <c r="AO81" i="1" s="1"/>
  <c r="M81" i="1" l="1"/>
  <c r="M71" i="1"/>
  <c r="M65" i="1"/>
  <c r="M66" i="1"/>
  <c r="M67" i="1"/>
  <c r="M68" i="1"/>
  <c r="M69" i="1"/>
  <c r="M70" i="1" l="1"/>
  <c r="M64" i="1"/>
  <c r="M63" i="1"/>
  <c r="M62" i="1"/>
  <c r="M61" i="1"/>
  <c r="M60" i="1"/>
  <c r="AH11" i="1"/>
  <c r="AH12" i="1"/>
  <c r="AH15" i="1"/>
  <c r="AH16" i="1"/>
  <c r="AH19" i="1"/>
  <c r="AH21" i="1"/>
  <c r="AH28" i="1"/>
  <c r="AH29" i="1"/>
  <c r="AH82" i="1"/>
  <c r="AD12" i="1"/>
  <c r="M59" i="1"/>
  <c r="M48" i="1" l="1"/>
  <c r="AD48" i="1"/>
  <c r="AF48" i="1"/>
  <c r="M49" i="1"/>
  <c r="AD49" i="1"/>
  <c r="AF49" i="1"/>
  <c r="M50" i="1"/>
  <c r="AD50" i="1"/>
  <c r="AF50" i="1"/>
  <c r="M51" i="1"/>
  <c r="AD51" i="1"/>
  <c r="AF51" i="1"/>
  <c r="M52" i="1"/>
  <c r="AD52" i="1"/>
  <c r="AF52" i="1"/>
  <c r="M53" i="1"/>
  <c r="AD53" i="1"/>
  <c r="AF53" i="1"/>
  <c r="M54" i="1"/>
  <c r="M55" i="1"/>
  <c r="M56" i="1"/>
  <c r="M57" i="1"/>
  <c r="M58" i="1"/>
  <c r="AD45" i="1"/>
  <c r="AF11" i="1" l="1"/>
  <c r="AF12" i="1"/>
  <c r="AF13" i="1"/>
  <c r="AF14" i="1"/>
  <c r="AF15" i="1"/>
  <c r="AF16" i="1"/>
  <c r="AF17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E46" i="1"/>
  <c r="AE47" i="1"/>
  <c r="AE45" i="1"/>
  <c r="AE11" i="1"/>
  <c r="AE12" i="1"/>
  <c r="AE13" i="1"/>
  <c r="AE14" i="1"/>
  <c r="AE15" i="1"/>
  <c r="AE16" i="1"/>
  <c r="AE17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D11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Y12" i="1"/>
  <c r="M47" i="1" l="1"/>
  <c r="M46" i="1"/>
  <c r="M45" i="1"/>
  <c r="AH81" i="1"/>
  <c r="X81" i="1"/>
  <c r="M44" i="1"/>
  <c r="T81" i="1" l="1"/>
  <c r="Z36" i="1"/>
  <c r="V26" i="1"/>
  <c r="P81" i="1" l="1"/>
  <c r="M43" i="1"/>
  <c r="U14" i="1"/>
  <c r="M39" i="1"/>
  <c r="AA81" i="1" l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40" i="1"/>
  <c r="AA41" i="1"/>
  <c r="U23" i="1"/>
  <c r="Y11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40" i="1"/>
  <c r="Y41" i="1"/>
  <c r="Y81" i="1"/>
  <c r="M42" i="1"/>
  <c r="M41" i="1"/>
  <c r="M40" i="1"/>
  <c r="M38" i="1"/>
  <c r="M37" i="1"/>
  <c r="M36" i="1"/>
  <c r="M35" i="1"/>
  <c r="M34" i="1"/>
  <c r="M33" i="1"/>
  <c r="M32" i="1"/>
  <c r="M31" i="1"/>
  <c r="M30" i="1"/>
  <c r="M29" i="1"/>
  <c r="M28" i="1"/>
  <c r="M27" i="1"/>
  <c r="U26" i="1" l="1"/>
  <c r="U25" i="1"/>
  <c r="U24" i="1"/>
  <c r="U19" i="1"/>
  <c r="U13" i="1"/>
  <c r="U20" i="1"/>
  <c r="U22" i="1"/>
  <c r="U17" i="1"/>
  <c r="U21" i="1"/>
  <c r="U18" i="1"/>
  <c r="R26" i="1"/>
  <c r="M26" i="1"/>
  <c r="U11" i="1"/>
  <c r="U12" i="1"/>
  <c r="U15" i="1"/>
  <c r="U16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R13" i="1"/>
  <c r="R25" i="1"/>
  <c r="R24" i="1"/>
  <c r="R23" i="1"/>
  <c r="R22" i="1"/>
  <c r="R21" i="1"/>
  <c r="R20" i="1"/>
  <c r="R19" i="1"/>
  <c r="R18" i="1"/>
  <c r="R17" i="1"/>
  <c r="M17" i="1"/>
  <c r="R11" i="1"/>
  <c r="R12" i="1"/>
  <c r="R14" i="1"/>
  <c r="R15" i="1"/>
  <c r="R16" i="1"/>
  <c r="Q12" i="1"/>
  <c r="Q14" i="1"/>
  <c r="Q15" i="1"/>
  <c r="Q16" i="1"/>
  <c r="Q11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</calcChain>
</file>

<file path=xl/sharedStrings.xml><?xml version="1.0" encoding="utf-8"?>
<sst xmlns="http://schemas.openxmlformats.org/spreadsheetml/2006/main" count="721" uniqueCount="467">
  <si>
    <t>Copropriété</t>
  </si>
  <si>
    <t>Ville</t>
  </si>
  <si>
    <t>Montbéliard</t>
  </si>
  <si>
    <t>Sochaux</t>
  </si>
  <si>
    <t>Belfort</t>
  </si>
  <si>
    <t>Méziré</t>
  </si>
  <si>
    <t>Cravanche</t>
  </si>
  <si>
    <t>Vieux-Charmont</t>
  </si>
  <si>
    <t>Tarif</t>
  </si>
  <si>
    <t>N° de copro</t>
  </si>
  <si>
    <t>Adresse</t>
  </si>
  <si>
    <t>3</t>
  </si>
  <si>
    <t>Nombre de logements</t>
  </si>
  <si>
    <t>Contrat</t>
  </si>
  <si>
    <t>Entreprises</t>
  </si>
  <si>
    <t>Début</t>
  </si>
  <si>
    <t>Fin</t>
  </si>
  <si>
    <t>1 et 2 Place de la Mairie</t>
  </si>
  <si>
    <t>2</t>
  </si>
  <si>
    <t>01/04/2022</t>
  </si>
  <si>
    <t>01/06/2022</t>
  </si>
  <si>
    <t>1 et 3 impasse des Bleuets</t>
  </si>
  <si>
    <t>1 rue des champs de la croix</t>
  </si>
  <si>
    <t>01/08/2022</t>
  </si>
  <si>
    <t>01/09/2022</t>
  </si>
  <si>
    <t>Villers le lac</t>
  </si>
  <si>
    <t>01/10/2022</t>
  </si>
  <si>
    <t>Bethoncourt</t>
  </si>
  <si>
    <t>Prog Neolia</t>
  </si>
  <si>
    <t>Assurance</t>
  </si>
  <si>
    <t>Superficie</t>
  </si>
  <si>
    <t>2022</t>
  </si>
  <si>
    <t>2023</t>
  </si>
  <si>
    <t>2021</t>
  </si>
  <si>
    <t xml:space="preserve">186 </t>
  </si>
  <si>
    <t>13 et 15 rue Lamarck</t>
  </si>
  <si>
    <t>200</t>
  </si>
  <si>
    <t>1 à 17 rue des Chintres</t>
  </si>
  <si>
    <t>4</t>
  </si>
  <si>
    <t>401</t>
  </si>
  <si>
    <t>Rue et Place du Moulin</t>
  </si>
  <si>
    <t>Foussemagne 90150</t>
  </si>
  <si>
    <t>5</t>
  </si>
  <si>
    <t>144</t>
  </si>
  <si>
    <t>1 à 19 rue des Vergers</t>
  </si>
  <si>
    <t>6</t>
  </si>
  <si>
    <t>115 ens 2</t>
  </si>
  <si>
    <t>9 rue des Jardins</t>
  </si>
  <si>
    <t>7</t>
  </si>
  <si>
    <t>332</t>
  </si>
  <si>
    <t>1, 3, 5 rue Jaquet</t>
  </si>
  <si>
    <t>8</t>
  </si>
  <si>
    <t>6012</t>
  </si>
  <si>
    <t>23 à 51 bld Renaud de Bourgogne</t>
  </si>
  <si>
    <t>9</t>
  </si>
  <si>
    <t>6025</t>
  </si>
  <si>
    <t>6 rue des Capucins</t>
  </si>
  <si>
    <t>10</t>
  </si>
  <si>
    <t>265 et 887</t>
  </si>
  <si>
    <t>11</t>
  </si>
  <si>
    <t>6019 ens 1</t>
  </si>
  <si>
    <t>12</t>
  </si>
  <si>
    <t>6 rue d'Es Coutey</t>
  </si>
  <si>
    <t>13</t>
  </si>
  <si>
    <t>177 / 847</t>
  </si>
  <si>
    <t>1 rue des Charmilles</t>
  </si>
  <si>
    <t>14</t>
  </si>
  <si>
    <t>1288</t>
  </si>
  <si>
    <t xml:space="preserve">35 rue du maréchal juin
</t>
  </si>
  <si>
    <t>15</t>
  </si>
  <si>
    <t>97 (bât 38) / 914</t>
  </si>
  <si>
    <t>Fesches le Châtel</t>
  </si>
  <si>
    <t>Valentigney</t>
  </si>
  <si>
    <t>Bart</t>
  </si>
  <si>
    <t>Pont de Roide</t>
  </si>
  <si>
    <t>49/51 route de Grand-Charmont</t>
  </si>
  <si>
    <t>ASL</t>
  </si>
  <si>
    <t>33</t>
  </si>
  <si>
    <t>30</t>
  </si>
  <si>
    <t>17</t>
  </si>
  <si>
    <t>20</t>
  </si>
  <si>
    <t>TOTAL</t>
  </si>
  <si>
    <t>16</t>
  </si>
  <si>
    <t>AXA</t>
  </si>
  <si>
    <t>25/05/2021</t>
  </si>
  <si>
    <t>Tacite au 01/01</t>
  </si>
  <si>
    <t>Indice FFB</t>
  </si>
  <si>
    <t>1000,50</t>
  </si>
  <si>
    <t>Cotisation de base TTC</t>
  </si>
  <si>
    <t>Prix au m²/€TTC</t>
  </si>
  <si>
    <t>FFB 2022</t>
  </si>
  <si>
    <t>FFB 2023</t>
  </si>
  <si>
    <t>Evolution
2022-2023</t>
  </si>
  <si>
    <t>Prix au m²/€TTC
2022</t>
  </si>
  <si>
    <t>Prix au m²/€TTC
2023</t>
  </si>
  <si>
    <t>02/05/2022</t>
  </si>
  <si>
    <t xml:space="preserve">N° </t>
  </si>
  <si>
    <t>21319590104</t>
  </si>
  <si>
    <t>1066,40</t>
  </si>
  <si>
    <t>20969508204</t>
  </si>
  <si>
    <t>20970180904</t>
  </si>
  <si>
    <t>10861151404</t>
  </si>
  <si>
    <t>26/07/2021</t>
  </si>
  <si>
    <t>01/08/2021</t>
  </si>
  <si>
    <t>21025373004</t>
  </si>
  <si>
    <t>1022,30</t>
  </si>
  <si>
    <t>Evolution 
Base-2022</t>
  </si>
  <si>
    <t>21096893204</t>
  </si>
  <si>
    <t>01/11/2021</t>
  </si>
  <si>
    <t>1033,40</t>
  </si>
  <si>
    <t>21151593804</t>
  </si>
  <si>
    <t>21165420304</t>
  </si>
  <si>
    <t>21/12/2021</t>
  </si>
  <si>
    <t>21324450704</t>
  </si>
  <si>
    <t>21324457504</t>
  </si>
  <si>
    <t>21359100104</t>
  </si>
  <si>
    <t>15/06/2022</t>
  </si>
  <si>
    <t>21359059504</t>
  </si>
  <si>
    <t>1101</t>
  </si>
  <si>
    <t>21324470404</t>
  </si>
  <si>
    <t>21409862704</t>
  </si>
  <si>
    <t>15/09/2022</t>
  </si>
  <si>
    <t>21409858404</t>
  </si>
  <si>
    <t>1135,50</t>
  </si>
  <si>
    <t>5,7,9 avenue de l'espérance</t>
  </si>
  <si>
    <t>AVIVA</t>
  </si>
  <si>
    <t>960,1</t>
  </si>
  <si>
    <t>23/10/2017</t>
  </si>
  <si>
    <t>77769433</t>
  </si>
  <si>
    <t>346</t>
  </si>
  <si>
    <t>1137</t>
  </si>
  <si>
    <t>6312</t>
  </si>
  <si>
    <t>28 A rue de Monswiller</t>
  </si>
  <si>
    <t>Saverne</t>
  </si>
  <si>
    <t>24</t>
  </si>
  <si>
    <t>Voujeaucourt</t>
  </si>
  <si>
    <t>1142,8</t>
  </si>
  <si>
    <t>18</t>
  </si>
  <si>
    <t>19</t>
  </si>
  <si>
    <t>5 rue des écoles</t>
  </si>
  <si>
    <t>Delle</t>
  </si>
  <si>
    <t>15/03/2023</t>
  </si>
  <si>
    <t>21547561704</t>
  </si>
  <si>
    <t>21572066504</t>
  </si>
  <si>
    <t>442 / 717</t>
  </si>
  <si>
    <t>2A rue du Mont Bart</t>
  </si>
  <si>
    <t>7 à 21 rue Croix Pariot</t>
  </si>
  <si>
    <t>Houtaud</t>
  </si>
  <si>
    <t>1387 / 1769</t>
  </si>
  <si>
    <t>21454408704</t>
  </si>
  <si>
    <t>Prix au m²/€TTC
2024</t>
  </si>
  <si>
    <t>FFB 2024</t>
  </si>
  <si>
    <t>2024</t>
  </si>
  <si>
    <t>Evolution 
2023-2024</t>
  </si>
  <si>
    <t>Evolution 
Base-2024</t>
  </si>
  <si>
    <t>21</t>
  </si>
  <si>
    <t>22</t>
  </si>
  <si>
    <t>23</t>
  </si>
  <si>
    <t>25</t>
  </si>
  <si>
    <t>26</t>
  </si>
  <si>
    <t>27</t>
  </si>
  <si>
    <t>28</t>
  </si>
  <si>
    <t>29</t>
  </si>
  <si>
    <t>31</t>
  </si>
  <si>
    <t>32</t>
  </si>
  <si>
    <t>Avenant surface 2400 à 4400 au 24/02/2023</t>
  </si>
  <si>
    <t>28 et 30 rue des Campenottes</t>
  </si>
  <si>
    <t>Grand-charmont</t>
  </si>
  <si>
    <t>6050</t>
  </si>
  <si>
    <t>6375</t>
  </si>
  <si>
    <t>7 rue de l'ancienne Filature</t>
  </si>
  <si>
    <t>Wittenheim</t>
  </si>
  <si>
    <t>142 (bât F5)</t>
  </si>
  <si>
    <t>49 (bât E)</t>
  </si>
  <si>
    <t>142 (bât E6)</t>
  </si>
  <si>
    <t>7 rue Centrale</t>
  </si>
  <si>
    <t>1440 / 1720</t>
  </si>
  <si>
    <t>37 rue de Vesoul</t>
  </si>
  <si>
    <t>Besançon</t>
  </si>
  <si>
    <t>6057</t>
  </si>
  <si>
    <t>Vesoul</t>
  </si>
  <si>
    <t>6 Bis rue de Verdun</t>
  </si>
  <si>
    <t>Sous-sol Espérance</t>
  </si>
  <si>
    <t>136 Bât 27A</t>
  </si>
  <si>
    <t>3 place Godard</t>
  </si>
  <si>
    <t>4 place Godard</t>
  </si>
  <si>
    <t>136 Bât 27B</t>
  </si>
  <si>
    <t>136</t>
  </si>
  <si>
    <t>ASL 3 à 8 place Godard</t>
  </si>
  <si>
    <t>6004</t>
  </si>
  <si>
    <t>20 rue Perlinsky</t>
  </si>
  <si>
    <t>Audincourt</t>
  </si>
  <si>
    <t>1403 / 1722</t>
  </si>
  <si>
    <t>13 A et B rue des vignerons</t>
  </si>
  <si>
    <t>295 / 912</t>
  </si>
  <si>
    <t>310 / 726</t>
  </si>
  <si>
    <t>ASL Square Victor Hugo</t>
  </si>
  <si>
    <t>6 rue Mendès France</t>
  </si>
  <si>
    <t>Héricourt</t>
  </si>
  <si>
    <t>21667942704</t>
  </si>
  <si>
    <t>21/06/2023</t>
  </si>
  <si>
    <t>21668278604</t>
  </si>
  <si>
    <t>21453575504</t>
  </si>
  <si>
    <t>20/06/2023</t>
  </si>
  <si>
    <t>21691570804</t>
  </si>
  <si>
    <t>20/07/2023</t>
  </si>
  <si>
    <t>1160,80</t>
  </si>
  <si>
    <t>21572142404</t>
  </si>
  <si>
    <t>11/07/2023</t>
  </si>
  <si>
    <t>21691583104</t>
  </si>
  <si>
    <t>77769438</t>
  </si>
  <si>
    <t>22/10/2017</t>
  </si>
  <si>
    <t>Tacite au 23/10</t>
  </si>
  <si>
    <t>21691598304</t>
  </si>
  <si>
    <t>24/08/2023</t>
  </si>
  <si>
    <t>21691590704</t>
  </si>
  <si>
    <t>21743183904</t>
  </si>
  <si>
    <t>18/09/2023</t>
  </si>
  <si>
    <t>21775685004</t>
  </si>
  <si>
    <t>18/10/2023</t>
  </si>
  <si>
    <t>21822024604</t>
  </si>
  <si>
    <t>1163,60</t>
  </si>
  <si>
    <t>evo 2022 / 2023</t>
  </si>
  <si>
    <t>05/12/2023</t>
  </si>
  <si>
    <t>18/12/2023</t>
  </si>
  <si>
    <t>11197567404</t>
  </si>
  <si>
    <t>1412</t>
  </si>
  <si>
    <t>34</t>
  </si>
  <si>
    <t>345 / 790</t>
  </si>
  <si>
    <t>6 et 8 rue Morimont</t>
  </si>
  <si>
    <t>22/12/2023</t>
  </si>
  <si>
    <t>21839921104</t>
  </si>
  <si>
    <t>3000</t>
  </si>
  <si>
    <t>35</t>
  </si>
  <si>
    <t>36</t>
  </si>
  <si>
    <t>37</t>
  </si>
  <si>
    <t>189 / 856</t>
  </si>
  <si>
    <t>5 rue de la logeotte</t>
  </si>
  <si>
    <t>L'isle sur le doubs</t>
  </si>
  <si>
    <t>11 rue du faubourg</t>
  </si>
  <si>
    <t>Diemeringen</t>
  </si>
  <si>
    <t>19 à 29 rue des chintres</t>
  </si>
  <si>
    <t>21977226004</t>
  </si>
  <si>
    <t>Evolution 
Base-2025</t>
  </si>
  <si>
    <t>FFB 2025</t>
  </si>
  <si>
    <t>2025</t>
  </si>
  <si>
    <t>Prix au m²/€TTC
2025</t>
  </si>
  <si>
    <t>Evolution 
2024-2025</t>
  </si>
  <si>
    <t>21862723504</t>
  </si>
  <si>
    <t>1050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</si>
  <si>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</si>
  <si>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</si>
  <si>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</si>
  <si>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</si>
  <si>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</si>
  <si>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</si>
  <si>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</si>
  <si>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</si>
  <si>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</si>
  <si>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</si>
  <si>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</si>
  <si>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6301</t>
  </si>
  <si>
    <t>294 / 899</t>
  </si>
  <si>
    <t>123 / 836</t>
  </si>
  <si>
    <t>311 Bât B</t>
  </si>
  <si>
    <t>152</t>
  </si>
  <si>
    <t>116 / 833</t>
  </si>
  <si>
    <t>Habitat 25</t>
  </si>
  <si>
    <t>1120  ens 12 A</t>
  </si>
  <si>
    <t>1033 / 1605</t>
  </si>
  <si>
    <t>311-315 / 906 - 917</t>
  </si>
  <si>
    <t>159 - 196 / 835 - 854</t>
  </si>
  <si>
    <t>6017</t>
  </si>
  <si>
    <t>4 et 6 rue Pizard Theurey</t>
  </si>
  <si>
    <t>VESOUL</t>
  </si>
  <si>
    <t>26 à 36 rue des Jardins</t>
  </si>
  <si>
    <t>MANDEURE</t>
  </si>
  <si>
    <t>23 - 25 rue d'Artois (Copro 1)</t>
  </si>
  <si>
    <t>GRAND-CHARMONT</t>
  </si>
  <si>
    <t>1 cour de l'orangerie</t>
  </si>
  <si>
    <t>AUDINCOURT</t>
  </si>
  <si>
    <t>15 à 29 Rue Louis Garnier</t>
  </si>
  <si>
    <t>6 A et B rue des Tilleuls</t>
  </si>
  <si>
    <t>VERCEL</t>
  </si>
  <si>
    <t>2 et 4 rue du Luxembourg</t>
  </si>
  <si>
    <t>BESANCON</t>
  </si>
  <si>
    <t>ASL Villeminot - Terre Rouge</t>
  </si>
  <si>
    <t>1  et 3 rue d'Artois (Copro 2)</t>
  </si>
  <si>
    <t>ASL 3 à 19 Perlinsky</t>
  </si>
  <si>
    <t>8 et 10 rue Engel</t>
  </si>
  <si>
    <t>BELFORT</t>
  </si>
  <si>
    <t>13/09/2024</t>
  </si>
  <si>
    <t>22040203604</t>
  </si>
  <si>
    <t>160</t>
  </si>
  <si>
    <t>1171,80</t>
  </si>
  <si>
    <t>21864116804</t>
  </si>
  <si>
    <t>21/03/2024</t>
  </si>
  <si>
    <t>900</t>
  </si>
  <si>
    <t>1153,70</t>
  </si>
  <si>
    <t>22/05/2024</t>
  </si>
  <si>
    <t>2890</t>
  </si>
  <si>
    <t>1152,60</t>
  </si>
  <si>
    <t>05/07/2024</t>
  </si>
  <si>
    <t>22015512704</t>
  </si>
  <si>
    <t>2900</t>
  </si>
  <si>
    <t>24/07/2024</t>
  </si>
  <si>
    <t>22034716604</t>
  </si>
  <si>
    <t>1500</t>
  </si>
  <si>
    <t>26/09/2024</t>
  </si>
  <si>
    <t>22052262604</t>
  </si>
  <si>
    <t>149</t>
  </si>
  <si>
    <t>30/09/2024</t>
  </si>
  <si>
    <t>22058990804</t>
  </si>
  <si>
    <t>1925</t>
  </si>
  <si>
    <t>01/10/2024</t>
  </si>
  <si>
    <t>22087223004</t>
  </si>
  <si>
    <t>1588</t>
  </si>
  <si>
    <t>1172,20</t>
  </si>
  <si>
    <t>28/11/2024</t>
  </si>
  <si>
    <t>22108156204</t>
  </si>
  <si>
    <t>1254</t>
  </si>
  <si>
    <t>1172,80</t>
  </si>
  <si>
    <t>2024 et 2025</t>
  </si>
  <si>
    <t>1450</t>
  </si>
  <si>
    <t>1174,60</t>
  </si>
  <si>
    <t>09/12/2024</t>
  </si>
  <si>
    <t>22151142004</t>
  </si>
  <si>
    <t>06/12/2024</t>
  </si>
  <si>
    <t>22147416804</t>
  </si>
  <si>
    <t>49</t>
  </si>
  <si>
    <t>311</t>
  </si>
  <si>
    <t>19 et 21 rue d'Artois (Copro 3)</t>
  </si>
  <si>
    <t>21/01/2025</t>
  </si>
  <si>
    <t>22196236104</t>
  </si>
  <si>
    <t>Prix négocié  
2025
Avenant</t>
  </si>
  <si>
    <t>Prix au m²/€TTC
2025
Avenant</t>
  </si>
  <si>
    <t>50</t>
  </si>
  <si>
    <t>433 / 728</t>
  </si>
  <si>
    <t>4 Rue du Vieil Armand</t>
  </si>
  <si>
    <t>22254120104</t>
  </si>
  <si>
    <t>01/04/2025</t>
  </si>
  <si>
    <t>1179,50</t>
  </si>
  <si>
    <t>950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</si>
  <si>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</si>
  <si>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</si>
  <si>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</si>
  <si>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</si>
  <si>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</si>
  <si>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</si>
  <si>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</si>
  <si>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</si>
  <si>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</si>
  <si>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</si>
  <si>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</si>
  <si>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25/04/2025</t>
  </si>
  <si>
    <t>22307869004</t>
  </si>
  <si>
    <t>6105</t>
  </si>
  <si>
    <t>59 Rue Mont Roland</t>
  </si>
  <si>
    <t>DOLE</t>
  </si>
  <si>
    <t>2200</t>
  </si>
  <si>
    <t>22307702104</t>
  </si>
  <si>
    <t>1001 / 1951</t>
  </si>
  <si>
    <t>1,3,5,7 Allée des campenottes</t>
  </si>
  <si>
    <t>23/04/2025</t>
  </si>
  <si>
    <t>2100</t>
  </si>
  <si>
    <t>37 / 806</t>
  </si>
  <si>
    <t>28 et 30 Rue Ambroise Croizat</t>
  </si>
  <si>
    <t>18/07/2025</t>
  </si>
  <si>
    <t>22393860804</t>
  </si>
  <si>
    <t>1680</t>
  </si>
  <si>
    <t>1178,90</t>
  </si>
  <si>
    <t>22406919504</t>
  </si>
  <si>
    <t>6328</t>
  </si>
  <si>
    <t>3,5,7 Docteur SCHWEITZER 
et 9,11Georges LASCH</t>
  </si>
  <si>
    <t>BIESHEIM</t>
  </si>
  <si>
    <t>31/07/2025</t>
  </si>
  <si>
    <t>3650</t>
  </si>
  <si>
    <t>22406956904</t>
  </si>
  <si>
    <t xml:space="preserve">1007 / 1952 </t>
  </si>
  <si>
    <t>4 et 4B Rue Midol</t>
  </si>
  <si>
    <t>1900</t>
  </si>
  <si>
    <t>22333968004</t>
  </si>
  <si>
    <t>27/05/2025</t>
  </si>
  <si>
    <t>400</t>
  </si>
  <si>
    <t>11 Rue Paul Verlaine</t>
  </si>
  <si>
    <t>HERICOURT</t>
  </si>
  <si>
    <t>5 à 7 rue des acacias</t>
  </si>
  <si>
    <t>VALENTIGNEY</t>
  </si>
  <si>
    <t>22366993104</t>
  </si>
  <si>
    <t>13/06/2025</t>
  </si>
  <si>
    <t>1336</t>
  </si>
  <si>
    <t>150 / 810 / 863</t>
  </si>
  <si>
    <t>4 et 6 rue Jules Emile Zingg</t>
  </si>
  <si>
    <t>EXINCOURT</t>
  </si>
  <si>
    <t>349 / 752</t>
  </si>
  <si>
    <t>6 et 10 Rue de la Souaberie</t>
  </si>
  <si>
    <t>MONTBELIARD</t>
  </si>
  <si>
    <t>32 / 379</t>
  </si>
  <si>
    <t>117 Rue de Seloncourt</t>
  </si>
  <si>
    <t>1526 / 1671</t>
  </si>
  <si>
    <t>1 à 3 rue Gascon</t>
  </si>
  <si>
    <t>22394066004</t>
  </si>
  <si>
    <t>27/07/2025</t>
  </si>
  <si>
    <t>3257</t>
  </si>
  <si>
    <t>28/08/2025</t>
  </si>
  <si>
    <t>22403166604</t>
  </si>
  <si>
    <t>1850</t>
  </si>
  <si>
    <t>22412171504</t>
  </si>
  <si>
    <t>06/08/2025</t>
  </si>
  <si>
    <t>570</t>
  </si>
  <si>
    <t>FFB 2026</t>
  </si>
  <si>
    <t>Prix au m²/€TTC
2026</t>
  </si>
  <si>
    <t>Evolution 
2025-2026</t>
  </si>
  <si>
    <t>Evolution 
Base-2026</t>
  </si>
  <si>
    <t>Prix négocié  
2026
Avenant</t>
  </si>
  <si>
    <t>Prix au m²/€TTC
2026
Avenant</t>
  </si>
  <si>
    <t>22503416404</t>
  </si>
  <si>
    <t>4800</t>
  </si>
  <si>
    <t>62</t>
  </si>
  <si>
    <t>276 / 897</t>
  </si>
  <si>
    <t>5 à 9 quai du Dr Petitjean</t>
  </si>
  <si>
    <t>63</t>
  </si>
  <si>
    <t>64</t>
  </si>
  <si>
    <t>65</t>
  </si>
  <si>
    <t>66</t>
  </si>
  <si>
    <t>67</t>
  </si>
  <si>
    <t>68</t>
  </si>
  <si>
    <t>ONV</t>
  </si>
  <si>
    <t>ASL
3A – 3B rue Anne Frank et 47A – 47B - 47C avenue de Paris</t>
  </si>
  <si>
    <t>COLMAR</t>
  </si>
  <si>
    <t>557/558 et 634 (garages)</t>
  </si>
  <si>
    <t>10 et 12 Rue de la Prospérité</t>
  </si>
  <si>
    <t>297 / 901</t>
  </si>
  <si>
    <t>5 avenue Wilson</t>
  </si>
  <si>
    <t>1569 / 1612</t>
  </si>
  <si>
    <t>39 rue des Flutes Agasses</t>
  </si>
  <si>
    <t>408 / 759 ONV</t>
  </si>
  <si>
    <t>Batterie du parc</t>
  </si>
  <si>
    <t>10 rue de la Ganzau</t>
  </si>
  <si>
    <t>STRASBOURG</t>
  </si>
  <si>
    <t>13-15 rue des Rossignols
2 à 6 rue Dunant</t>
  </si>
  <si>
    <t>DELLE</t>
  </si>
  <si>
    <t>30 D Rue de l'Eglise</t>
  </si>
  <si>
    <t>69</t>
  </si>
  <si>
    <t>70</t>
  </si>
  <si>
    <t>22566642004</t>
  </si>
  <si>
    <t>01/01/2026</t>
  </si>
  <si>
    <t>1183,50</t>
  </si>
  <si>
    <t>11449775004</t>
  </si>
  <si>
    <t>1180,80</t>
  </si>
  <si>
    <t>18/12/2025</t>
  </si>
  <si>
    <t>22563330504</t>
  </si>
  <si>
    <t>08/01/2026</t>
  </si>
  <si>
    <t>22563373404</t>
  </si>
  <si>
    <t>1750</t>
  </si>
  <si>
    <t>22566572504</t>
  </si>
  <si>
    <t>1250</t>
  </si>
  <si>
    <t>22575418504</t>
  </si>
  <si>
    <t>3625</t>
  </si>
  <si>
    <t>22593122204</t>
  </si>
  <si>
    <t>2685</t>
  </si>
  <si>
    <t>28/10/2025</t>
  </si>
  <si>
    <t>29/10/2025</t>
  </si>
  <si>
    <t>22504125604</t>
  </si>
  <si>
    <t>2400</t>
  </si>
  <si>
    <t>22632242704</t>
  </si>
  <si>
    <t>18/02/2026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</si>
</sst>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0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</cellStyleXfs>
  <cellXfs count="142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2" fontId="6" fillId="3" borderId="4" xfId="0" applyNumberFormat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49" fontId="9" fillId="3" borderId="4" xfId="0" applyNumberFormat="1" applyFont="1" applyFill="1" applyBorder="1" applyAlignment="1">
      <alignment horizontal="center" vertical="center" wrapText="1"/>
    </xf>
    <xf numFmtId="49" fontId="9" fillId="3" borderId="4" xfId="0" applyNumberFormat="1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center" wrapText="1"/>
    </xf>
    <xf numFmtId="164" fontId="6" fillId="3" borderId="4" xfId="0" applyNumberFormat="1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164" fontId="6" fillId="3" borderId="5" xfId="0" applyNumberFormat="1" applyFont="1" applyFill="1" applyBorder="1" applyAlignment="1">
      <alignment horizontal="center" vertical="center" wrapText="1"/>
    </xf>
    <xf numFmtId="10" fontId="6" fillId="3" borderId="4" xfId="1" applyNumberFormat="1" applyFont="1" applyFill="1" applyBorder="1" applyAlignment="1">
      <alignment horizontal="center" vertical="center" wrapText="1"/>
    </xf>
    <xf numFmtId="164" fontId="6" fillId="3" borderId="4" xfId="1" applyNumberFormat="1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164" fontId="6" fillId="8" borderId="4" xfId="0" applyNumberFormat="1" applyFont="1" applyFill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164" fontId="6" fillId="8" borderId="5" xfId="0" applyNumberFormat="1" applyFont="1" applyFill="1" applyBorder="1" applyAlignment="1">
      <alignment horizontal="center" vertical="center" wrapText="1"/>
    </xf>
    <xf numFmtId="2" fontId="6" fillId="3" borderId="4" xfId="1" applyNumberFormat="1" applyFont="1" applyFill="1" applyBorder="1" applyAlignment="1">
      <alignment horizontal="center" vertical="center" wrapText="1"/>
    </xf>
    <xf numFmtId="10" fontId="6" fillId="3" borderId="4" xfId="0" applyNumberFormat="1" applyFont="1" applyFill="1" applyBorder="1" applyAlignment="1">
      <alignment horizontal="center" vertical="center" wrapText="1"/>
    </xf>
    <xf numFmtId="164" fontId="6" fillId="3" borderId="4" xfId="2" applyNumberFormat="1" applyFont="1" applyFill="1" applyBorder="1" applyAlignment="1">
      <alignment horizontal="center" vertical="center" wrapText="1"/>
    </xf>
    <xf numFmtId="9" fontId="6" fillId="3" borderId="4" xfId="1" applyFont="1" applyFill="1" applyBorder="1" applyAlignment="1">
      <alignment horizontal="center" vertical="center" wrapText="1"/>
    </xf>
    <xf numFmtId="1" fontId="9" fillId="3" borderId="4" xfId="0" applyNumberFormat="1" applyFont="1" applyFill="1" applyBorder="1" applyAlignment="1">
      <alignment horizontal="center" vertical="center"/>
    </xf>
    <xf numFmtId="49" fontId="10" fillId="3" borderId="4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6" fillId="3" borderId="10" xfId="0" applyNumberFormat="1" applyFont="1" applyFill="1" applyBorder="1" applyAlignment="1">
      <alignment horizontal="center" vertical="center" wrapText="1"/>
    </xf>
    <xf numFmtId="164" fontId="6" fillId="3" borderId="1" xfId="2" applyNumberFormat="1" applyFont="1" applyFill="1" applyBorder="1" applyAlignment="1">
      <alignment horizontal="center" vertical="center" wrapText="1"/>
    </xf>
    <xf numFmtId="2" fontId="11" fillId="3" borderId="4" xfId="0" applyNumberFormat="1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6" fillId="3" borderId="10" xfId="0" applyNumberFormat="1" applyFont="1" applyFill="1" applyBorder="1" applyAlignment="1">
      <alignment horizontal="center" vertical="center" wrapText="1"/>
    </xf>
    <xf numFmtId="10" fontId="6" fillId="3" borderId="1" xfId="0" applyNumberFormat="1" applyFont="1" applyFill="1" applyBorder="1" applyAlignment="1">
      <alignment horizontal="center" vertical="center" wrapText="1"/>
    </xf>
    <xf numFmtId="10" fontId="6" fillId="3" borderId="10" xfId="0" applyNumberFormat="1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164" fontId="6" fillId="8" borderId="4" xfId="2" applyNumberFormat="1" applyFont="1" applyFill="1" applyBorder="1" applyAlignment="1">
      <alignment horizontal="center" vertical="center" wrapText="1"/>
    </xf>
    <xf numFmtId="164" fontId="11" fillId="8" borderId="4" xfId="2" applyNumberFormat="1" applyFont="1" applyFill="1" applyBorder="1" applyAlignment="1">
      <alignment horizontal="center" vertical="center" wrapText="1"/>
    </xf>
    <xf numFmtId="49" fontId="9" fillId="6" borderId="4" xfId="0" applyNumberFormat="1" applyFont="1" applyFill="1" applyBorder="1" applyAlignment="1">
      <alignment horizontal="center" vertical="center" wrapText="1"/>
    </xf>
    <xf numFmtId="49" fontId="9" fillId="6" borderId="4" xfId="0" applyNumberFormat="1" applyFont="1" applyFill="1" applyBorder="1" applyAlignment="1">
      <alignment horizontal="center" vertical="center"/>
    </xf>
    <xf numFmtId="49" fontId="6" fillId="6" borderId="4" xfId="0" applyNumberFormat="1" applyFont="1" applyFill="1" applyBorder="1" applyAlignment="1">
      <alignment horizontal="center" vertical="center" wrapText="1"/>
    </xf>
    <xf numFmtId="10" fontId="6" fillId="6" borderId="4" xfId="1" applyNumberFormat="1" applyFont="1" applyFill="1" applyBorder="1" applyAlignment="1">
      <alignment horizontal="center" vertical="center" wrapText="1"/>
    </xf>
    <xf numFmtId="164" fontId="6" fillId="6" borderId="4" xfId="1" applyNumberFormat="1" applyFont="1" applyFill="1" applyBorder="1" applyAlignment="1">
      <alignment horizontal="center" vertical="center" wrapText="1"/>
    </xf>
    <xf numFmtId="2" fontId="6" fillId="6" borderId="4" xfId="1" applyNumberFormat="1" applyFont="1" applyFill="1" applyBorder="1" applyAlignment="1">
      <alignment horizontal="center" vertical="center" wrapText="1"/>
    </xf>
    <xf numFmtId="10" fontId="6" fillId="6" borderId="4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0" fontId="6" fillId="6" borderId="1" xfId="0" applyNumberFormat="1" applyFont="1" applyFill="1" applyBorder="1" applyAlignment="1">
      <alignment horizontal="center" vertical="center" wrapText="1"/>
    </xf>
    <xf numFmtId="49" fontId="6" fillId="6" borderId="3" xfId="0" applyNumberFormat="1" applyFont="1" applyFill="1" applyBorder="1" applyAlignment="1">
      <alignment horizontal="center" vertical="center" wrapText="1"/>
    </xf>
    <xf numFmtId="9" fontId="6" fillId="6" borderId="4" xfId="1" applyFont="1" applyFill="1" applyBorder="1" applyAlignment="1">
      <alignment horizontal="center" vertical="center" wrapText="1"/>
    </xf>
    <xf numFmtId="49" fontId="6" fillId="6" borderId="4" xfId="2" applyNumberFormat="1" applyFont="1" applyFill="1" applyBorder="1" applyAlignment="1">
      <alignment horizontal="center" vertical="center" wrapText="1"/>
    </xf>
    <xf numFmtId="0" fontId="1" fillId="6" borderId="0" xfId="0" applyFont="1" applyFill="1"/>
    <xf numFmtId="164" fontId="6" fillId="6" borderId="4" xfId="2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49" fontId="12" fillId="5" borderId="4" xfId="0" applyNumberFormat="1" applyFont="1" applyFill="1" applyBorder="1" applyAlignment="1">
      <alignment horizontal="center" vertical="center" wrapText="1"/>
    </xf>
    <xf numFmtId="49" fontId="12" fillId="5" borderId="4" xfId="0" applyNumberFormat="1" applyFont="1" applyFill="1" applyBorder="1" applyAlignment="1">
      <alignment horizontal="center" vertical="center"/>
    </xf>
    <xf numFmtId="1" fontId="12" fillId="5" borderId="4" xfId="0" applyNumberFormat="1" applyFont="1" applyFill="1" applyBorder="1" applyAlignment="1">
      <alignment horizontal="center" vertical="center" wrapText="1"/>
    </xf>
    <xf numFmtId="1" fontId="12" fillId="5" borderId="4" xfId="0" applyNumberFormat="1" applyFont="1" applyFill="1" applyBorder="1" applyAlignment="1">
      <alignment horizontal="center" vertical="center"/>
    </xf>
    <xf numFmtId="164" fontId="12" fillId="5" borderId="4" xfId="0" applyNumberFormat="1" applyFont="1" applyFill="1" applyBorder="1" applyAlignment="1">
      <alignment horizontal="center" vertical="center" wrapText="1"/>
    </xf>
    <xf numFmtId="10" fontId="12" fillId="5" borderId="4" xfId="1" applyNumberFormat="1" applyFont="1" applyFill="1" applyBorder="1" applyAlignment="1">
      <alignment horizontal="center" vertical="center" wrapText="1"/>
    </xf>
    <xf numFmtId="164" fontId="12" fillId="5" borderId="4" xfId="1" applyNumberFormat="1" applyFont="1" applyFill="1" applyBorder="1" applyAlignment="1">
      <alignment horizontal="center" vertical="center" wrapText="1"/>
    </xf>
    <xf numFmtId="2" fontId="12" fillId="5" borderId="4" xfId="1" applyNumberFormat="1" applyFont="1" applyFill="1" applyBorder="1" applyAlignment="1">
      <alignment horizontal="center" vertical="center" wrapText="1"/>
    </xf>
    <xf numFmtId="2" fontId="12" fillId="5" borderId="1" xfId="2" applyNumberFormat="1" applyFont="1" applyFill="1" applyBorder="1" applyAlignment="1">
      <alignment horizontal="center" vertical="center" wrapText="1"/>
    </xf>
    <xf numFmtId="164" fontId="12" fillId="5" borderId="1" xfId="2" applyNumberFormat="1" applyFont="1" applyFill="1" applyBorder="1" applyAlignment="1">
      <alignment horizontal="center" vertical="center" wrapText="1"/>
    </xf>
    <xf numFmtId="10" fontId="12" fillId="5" borderId="1" xfId="0" applyNumberFormat="1" applyFont="1" applyFill="1" applyBorder="1" applyAlignment="1">
      <alignment horizontal="center" vertical="center" wrapText="1"/>
    </xf>
    <xf numFmtId="10" fontId="12" fillId="5" borderId="1" xfId="2" applyNumberFormat="1" applyFont="1" applyFill="1" applyBorder="1" applyAlignment="1">
      <alignment horizontal="center" vertical="center" wrapText="1"/>
    </xf>
    <xf numFmtId="0" fontId="12" fillId="5" borderId="0" xfId="0" applyFont="1" applyFill="1"/>
    <xf numFmtId="10" fontId="6" fillId="10" borderId="1" xfId="0" applyNumberFormat="1" applyFont="1" applyFill="1" applyBorder="1" applyAlignment="1">
      <alignment horizontal="center" vertical="center" wrapText="1"/>
    </xf>
    <xf numFmtId="49" fontId="12" fillId="3" borderId="4" xfId="0" applyNumberFormat="1" applyFont="1" applyFill="1" applyBorder="1" applyAlignment="1">
      <alignment horizontal="center" vertical="center" wrapText="1"/>
    </xf>
    <xf numFmtId="9" fontId="12" fillId="5" borderId="4" xfId="1" applyFont="1" applyFill="1" applyBorder="1" applyAlignment="1">
      <alignment horizontal="center" vertical="center" wrapText="1"/>
    </xf>
    <xf numFmtId="10" fontId="13" fillId="5" borderId="4" xfId="0" applyNumberFormat="1" applyFont="1" applyFill="1" applyBorder="1" applyAlignment="1">
      <alignment horizontal="center" vertical="center" wrapText="1"/>
    </xf>
    <xf numFmtId="1" fontId="12" fillId="5" borderId="4" xfId="1" applyNumberFormat="1" applyFont="1" applyFill="1" applyBorder="1" applyAlignment="1">
      <alignment horizontal="center" vertical="center" wrapText="1"/>
    </xf>
    <xf numFmtId="49" fontId="6" fillId="3" borderId="11" xfId="0" applyNumberFormat="1" applyFont="1" applyFill="1" applyBorder="1" applyAlignment="1">
      <alignment horizontal="center" vertical="center" wrapText="1"/>
    </xf>
    <xf numFmtId="49" fontId="12" fillId="5" borderId="5" xfId="0" applyNumberFormat="1" applyFont="1" applyFill="1" applyBorder="1" applyAlignment="1">
      <alignment horizontal="center" vertical="center" wrapText="1"/>
    </xf>
    <xf numFmtId="1" fontId="12" fillId="5" borderId="5" xfId="0" applyNumberFormat="1" applyFont="1" applyFill="1" applyBorder="1" applyAlignment="1">
      <alignment horizontal="center" vertical="center" wrapText="1"/>
    </xf>
    <xf numFmtId="164" fontId="12" fillId="5" borderId="5" xfId="0" applyNumberFormat="1" applyFont="1" applyFill="1" applyBorder="1" applyAlignment="1">
      <alignment horizontal="center" vertical="center" wrapText="1"/>
    </xf>
    <xf numFmtId="9" fontId="6" fillId="3" borderId="5" xfId="1" applyFont="1" applyFill="1" applyBorder="1" applyAlignment="1">
      <alignment horizontal="center" vertical="center" wrapText="1"/>
    </xf>
    <xf numFmtId="164" fontId="6" fillId="3" borderId="5" xfId="1" applyNumberFormat="1" applyFont="1" applyFill="1" applyBorder="1" applyAlignment="1">
      <alignment horizontal="center" vertical="center" wrapText="1"/>
    </xf>
    <xf numFmtId="1" fontId="12" fillId="5" borderId="5" xfId="1" applyNumberFormat="1" applyFont="1" applyFill="1" applyBorder="1" applyAlignment="1">
      <alignment horizontal="center" vertical="center" wrapText="1"/>
    </xf>
    <xf numFmtId="10" fontId="13" fillId="5" borderId="5" xfId="0" applyNumberFormat="1" applyFont="1" applyFill="1" applyBorder="1" applyAlignment="1">
      <alignment horizontal="center" vertical="center" wrapText="1"/>
    </xf>
    <xf numFmtId="2" fontId="6" fillId="3" borderId="5" xfId="1" applyNumberFormat="1" applyFont="1" applyFill="1" applyBorder="1" applyAlignment="1">
      <alignment horizontal="center" vertical="center" wrapText="1"/>
    </xf>
    <xf numFmtId="2" fontId="12" fillId="5" borderId="5" xfId="0" applyNumberFormat="1" applyFont="1" applyFill="1" applyBorder="1" applyAlignment="1">
      <alignment horizontal="center" vertical="center" wrapText="1"/>
    </xf>
    <xf numFmtId="164" fontId="12" fillId="5" borderId="10" xfId="0" applyNumberFormat="1" applyFont="1" applyFill="1" applyBorder="1" applyAlignment="1">
      <alignment horizontal="center" vertical="center" wrapText="1"/>
    </xf>
    <xf numFmtId="10" fontId="13" fillId="5" borderId="1" xfId="0" applyNumberFormat="1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49" fontId="6" fillId="3" borderId="4" xfId="2" applyNumberFormat="1" applyFont="1" applyFill="1" applyBorder="1" applyAlignment="1">
      <alignment horizontal="center" vertical="center" wrapText="1"/>
    </xf>
    <xf numFmtId="10" fontId="12" fillId="5" borderId="10" xfId="2" applyNumberFormat="1" applyFont="1" applyFill="1" applyBorder="1" applyAlignment="1">
      <alignment horizontal="center" vertical="center" wrapText="1"/>
    </xf>
    <xf numFmtId="164" fontId="12" fillId="5" borderId="10" xfId="2" applyNumberFormat="1" applyFont="1" applyFill="1" applyBorder="1" applyAlignment="1">
      <alignment horizontal="center" vertical="center" wrapText="1"/>
    </xf>
    <xf numFmtId="49" fontId="9" fillId="3" borderId="4" xfId="3" applyNumberFormat="1" applyFont="1" applyFill="1" applyBorder="1" applyAlignment="1">
      <alignment horizontal="center" vertical="center"/>
    </xf>
    <xf numFmtId="0" fontId="14" fillId="3" borderId="4" xfId="3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1" fontId="9" fillId="6" borderId="4" xfId="0" applyNumberFormat="1" applyFont="1" applyFill="1" applyBorder="1" applyAlignment="1">
      <alignment horizontal="center" vertical="center"/>
    </xf>
    <xf numFmtId="164" fontId="12" fillId="6" borderId="10" xfId="2" applyNumberFormat="1" applyFont="1" applyFill="1" applyBorder="1" applyAlignment="1">
      <alignment horizontal="center" vertical="center" wrapText="1"/>
    </xf>
    <xf numFmtId="0" fontId="14" fillId="6" borderId="5" xfId="3" applyFont="1" applyFill="1" applyBorder="1" applyAlignment="1">
      <alignment horizontal="center" vertical="center" wrapText="1"/>
    </xf>
    <xf numFmtId="164" fontId="6" fillId="3" borderId="10" xfId="2" applyNumberFormat="1" applyFont="1" applyFill="1" applyBorder="1" applyAlignment="1">
      <alignment horizontal="center" vertical="center" wrapText="1"/>
    </xf>
    <xf numFmtId="10" fontId="6" fillId="3" borderId="10" xfId="2" applyNumberFormat="1" applyFont="1" applyFill="1" applyBorder="1" applyAlignment="1">
      <alignment horizontal="center" vertical="center" wrapText="1"/>
    </xf>
    <xf numFmtId="10" fontId="6" fillId="11" borderId="1" xfId="0" applyNumberFormat="1" applyFont="1" applyFill="1" applyBorder="1" applyAlignment="1">
      <alignment horizontal="center" vertical="center" wrapText="1"/>
    </xf>
    <xf numFmtId="10" fontId="6" fillId="11" borderId="10" xfId="0" applyNumberFormat="1" applyFont="1" applyFill="1" applyBorder="1" applyAlignment="1">
      <alignment horizontal="center" vertical="center" wrapText="1"/>
    </xf>
    <xf numFmtId="164" fontId="11" fillId="8" borderId="1" xfId="0" applyNumberFormat="1" applyFont="1" applyFill="1" applyBorder="1" applyAlignment="1">
      <alignment horizontal="center" vertical="center" wrapText="1"/>
    </xf>
    <xf numFmtId="164" fontId="6" fillId="8" borderId="10" xfId="2" applyNumberFormat="1" applyFont="1" applyFill="1" applyBorder="1" applyAlignment="1">
      <alignment horizontal="center" vertical="center" wrapText="1"/>
    </xf>
    <xf numFmtId="49" fontId="9" fillId="3" borderId="4" xfId="3" applyNumberFormat="1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1" fontId="9" fillId="3" borderId="4" xfId="3" applyNumberFormat="1" applyFont="1" applyFill="1" applyBorder="1" applyAlignment="1">
      <alignment horizontal="center" vertical="center"/>
    </xf>
    <xf numFmtId="0" fontId="14" fillId="3" borderId="5" xfId="3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 wrapText="1"/>
    </xf>
    <xf numFmtId="10" fontId="6" fillId="5" borderId="10" xfId="2" applyNumberFormat="1" applyFont="1" applyFill="1" applyBorder="1" applyAlignment="1">
      <alignment horizontal="center" vertical="center" wrapText="1"/>
    </xf>
    <xf numFmtId="164" fontId="6" fillId="5" borderId="10" xfId="2" applyNumberFormat="1" applyFont="1" applyFill="1" applyBorder="1" applyAlignment="1">
      <alignment horizontal="center" vertical="center" wrapText="1"/>
    </xf>
    <xf numFmtId="164" fontId="6" fillId="6" borderId="10" xfId="2" applyNumberFormat="1" applyFont="1" applyFill="1" applyBorder="1" applyAlignment="1">
      <alignment horizontal="center" vertical="center" wrapText="1"/>
    </xf>
    <xf numFmtId="10" fontId="6" fillId="6" borderId="10" xfId="2" applyNumberFormat="1" applyFont="1" applyFill="1" applyBorder="1" applyAlignment="1">
      <alignment horizontal="center" vertical="center" wrapText="1"/>
    </xf>
    <xf numFmtId="10" fontId="6" fillId="5" borderId="5" xfId="2" applyNumberFormat="1" applyFont="1" applyFill="1" applyBorder="1" applyAlignment="1">
      <alignment horizontal="center" vertical="center" wrapText="1"/>
    </xf>
    <xf numFmtId="2" fontId="6" fillId="3" borderId="10" xfId="2" applyNumberFormat="1" applyFont="1" applyFill="1" applyBorder="1" applyAlignment="1">
      <alignment horizontal="center" vertical="center" wrapText="1"/>
    </xf>
    <xf numFmtId="10" fontId="12" fillId="5" borderId="5" xfId="2" applyNumberFormat="1" applyFont="1" applyFill="1" applyBorder="1" applyAlignment="1">
      <alignment horizontal="center" vertical="center" wrapText="1"/>
    </xf>
    <xf numFmtId="1" fontId="14" fillId="3" borderId="4" xfId="3" applyNumberFormat="1" applyFont="1" applyFill="1" applyBorder="1" applyAlignment="1">
      <alignment horizontal="center" vertical="center"/>
    </xf>
    <xf numFmtId="1" fontId="14" fillId="3" borderId="4" xfId="3" applyNumberFormat="1" applyFont="1" applyFill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" fontId="3" fillId="4" borderId="1" xfId="0" applyNumberFormat="1" applyFont="1" applyFill="1" applyBorder="1" applyAlignment="1">
      <alignment horizontal="center" vertical="center" wrapText="1"/>
    </xf>
    <xf numFmtId="16" fontId="3" fillId="4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4">
    <cellStyle name="Monétaire" xfId="2" builtinId="4"/>
    <cellStyle name="Normal" xfId="0" builtinId="0"/>
    <cellStyle name="Normal 3" xfId="3" xr:uid="{81D93200-F2A9-45EF-9C10-F44F90D876C2}"/>
    <cellStyle name="Pourcentage" xfId="1" builtinId="5"/>
  </cellStyles>
  <dxfs count="51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164" formatCode="#,##0.00\ &quot;€&quot;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164" formatCode="#,##0.00\ &quot;€&quot;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164" formatCode="#,##0.00\ &quot;€&quot;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54428</xdr:rowOff>
    </xdr:from>
    <xdr:to>
      <xdr:col>1</xdr:col>
      <xdr:colOff>937191</xdr:colOff>
      <xdr:row>6</xdr:row>
      <xdr:rowOff>151928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D5C859E-648D-40C5-9CE4-7BFD8CD25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428"/>
          <a:ext cx="2391681" cy="12119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A615BA-9572-4E1E-BBC0-5459B800CF77}" name="Tableau1" displayName="Tableau1" ref="A10:AI85" totalsRowShown="0" headerRowDxfId="50" dataDxfId="48" headerRowBorderDxfId="49" tableBorderDxfId="47" totalsRowBorderDxfId="46">
  <autoFilter ref="A10:AI85" xr:uid="{F0A615BA-9572-4E1E-BBC0-5459B800CF77}"/>
  <tableColumns count="35">
    <tableColumn id="1" xr3:uid="{6C74282E-D6F0-46A2-BAC7-84AC705ADDAC}" name="N° de copro" dataDxfId="45"/>
    <tableColumn id="16" xr3:uid="{94B9546B-A560-4BEA-AD91-B7E20F446257}" name="Prog Neolia" dataDxfId="44"/>
    <tableColumn id="2" xr3:uid="{49AAAB5B-FF43-4968-9ADC-ECB24C10078F}" name="Adresse" dataDxfId="43"/>
    <tableColumn id="3" xr3:uid="{8051E1F3-0690-458B-901D-6532EB835582}" name="Ville" dataDxfId="42"/>
    <tableColumn id="4" xr3:uid="{982A75D6-490C-41F1-B86A-768AC68FC18C}" name="Nombre de logements" dataDxfId="41"/>
    <tableColumn id="5" xr3:uid="{48621DBF-5A51-4583-BFD3-FCF2E2085297}" name="Entreprises" dataDxfId="40"/>
    <tableColumn id="7" xr3:uid="{6441DF68-50EA-42F0-BF7E-1F41DC88C04E}" name="Début" dataDxfId="39"/>
    <tableColumn id="17" xr3:uid="{21E83814-9AAB-43A7-BBA1-7DA609A6C5A0}" name="Fin" dataDxfId="38"/>
    <tableColumn id="8" xr3:uid="{2BD66259-0BC1-4797-B173-408DF229D2E1}" name="N° " dataDxfId="37"/>
    <tableColumn id="9" xr3:uid="{FCB2B319-6E28-4C21-999B-822241DEC975}" name="Superficie" dataDxfId="36"/>
    <tableColumn id="21" xr3:uid="{862030EF-F70F-413B-826A-58FE0AF22313}" name="Indice FFB" dataDxfId="35"/>
    <tableColumn id="10" xr3:uid="{3DC489B4-D82F-4209-B2CE-B5D6E9C26866}" name="Cotisation de base TTC" dataDxfId="34"/>
    <tableColumn id="18" xr3:uid="{38B03322-06F8-48AF-86C0-F758905C3249}" name="Prix au m²/€TTC" dataDxfId="33">
      <calculatedColumnFormula>Tableau1[[#This Row],[Cotisation de base TTC]]/Tableau1[[#This Row],[Superficie]]</calculatedColumnFormula>
    </tableColumn>
    <tableColumn id="11" xr3:uid="{84083B28-C299-42B1-8453-DE627443C052}" name="2021" dataDxfId="32"/>
    <tableColumn id="22" xr3:uid="{D2C727E8-2A9A-4D26-A012-41938293E7FE}" name="FFB 2022" dataDxfId="31"/>
    <tableColumn id="15" xr3:uid="{10E4ABA3-9931-43D7-9110-E3A618917D24}" name="2022" dataDxfId="30"/>
    <tableColumn id="19" xr3:uid="{2D02D0A7-D6D3-485E-BE3B-4DE35A814448}" name="Evolution _x000a_Base-2022" dataDxfId="29">
      <calculatedColumnFormula>(Tableau1[[#This Row],[2022]]-Tableau1[[#This Row],[Cotisation de base TTC]])/Tableau1[[#This Row],[Cotisation de base TTC]]</calculatedColumnFormula>
    </tableColumn>
    <tableColumn id="25" xr3:uid="{BC77E78E-7FA8-4549-BC2B-5243557F1702}" name="Prix au m²/€TTC_x000a_2022" dataDxfId="28" dataCellStyle="Pourcentage">
      <calculatedColumnFormula>Tableau1[[#This Row],[2022]]/Tableau1[[#This Row],[Superficie]]</calculatedColumnFormula>
    </tableColumn>
    <tableColumn id="23" xr3:uid="{F255F3F9-CFE5-4A85-9622-E72334115C51}" name="FFB 2023" dataDxfId="27" dataCellStyle="Pourcentage"/>
    <tableColumn id="20" xr3:uid="{4E6038E9-7E33-4FC3-9CB8-1C868F1787B2}" name="2023" dataDxfId="26"/>
    <tableColumn id="26" xr3:uid="{50DA7198-8B71-414B-9F8F-EAE3F3AC1A2A}" name="Evolution_x000a_2022-2023" dataDxfId="25">
      <calculatedColumnFormula>(Tableau1[[#This Row],[2023]]-Tableau1[[#This Row],[2022]])/Tableau1[[#This Row],[2022]]</calculatedColumnFormula>
    </tableColumn>
    <tableColumn id="12" xr3:uid="{BAEC1073-5A92-4F94-A394-51C0A811C85B}" name="Prix au m²/€TTC_x000a_2023" dataDxfId="24">
      <calculatedColumnFormula>Tableau1[[#This Row],[2023]]/Tableau1[[#This Row],[Superficie]]</calculatedColumnFormula>
    </tableColumn>
    <tableColumn id="6" xr3:uid="{038DE136-7869-44E6-AC30-F1D00B7DBC84}" name="FFB 2024" dataDxfId="23"/>
    <tableColumn id="14" xr3:uid="{E16D8A35-4329-4FFC-A5BD-7D29D786F9D1}" name="2024" dataDxfId="22"/>
    <tableColumn id="24" xr3:uid="{CB1F1400-3765-4587-AC07-C0BF6C5E585F}" name="Prix au m²/€TTC_x000a_2024" dataDxfId="21">
      <calculatedColumnFormula>Tableau1[[#This Row],[2024]]/Tableau1[[#This Row],[Superficie]]</calculatedColumnFormula>
    </tableColumn>
    <tableColumn id="27" xr3:uid="{FF6B3E25-0099-4948-BD9F-6DF70407FB21}" name="Evolution _x000a_2023-2024" dataDxfId="20">
      <calculatedColumnFormula>(Tableau1[[#This Row],[2024]]-Tableau1[[#This Row],[Cotisation de base TTC]])/Tableau1[[#This Row],[Cotisation de base TTC]]</calculatedColumnFormula>
    </tableColumn>
    <tableColumn id="28" xr3:uid="{CE2B1A60-A06E-4A39-A62E-4DBAD7B72758}" name="Evolution _x000a_Base-2024" dataDxfId="19">
      <calculatedColumnFormula>(Tableau1[[#This Row],[2024]]-Tableau1[[#This Row],[Cotisation de base TTC]])/Tableau1[[#This Row],[Cotisation de base TTC]]</calculatedColumnFormula>
    </tableColumn>
    <tableColumn id="29" xr3:uid="{E0CC6284-CCB2-469B-B1E6-3B667ACE4067}" name="FFB 2025" dataDxfId="18" dataCellStyle="Monétaire"/>
    <tableColumn id="30" xr3:uid="{51378A56-F829-4239-BBC6-52372E0FD612}" name="2025" dataDxfId="17" dataCellStyle="Monétaire"/>
    <tableColumn id="31" xr3:uid="{E2CD8D5D-46FA-46D7-8283-422224FBF1E3}" name="Prix au m²/€TTC_x000a_2025" dataDxfId="16" dataCellStyle="Monétaire">
      <calculatedColumnFormula>Tableau1[[#This Row],[2025]]/Tableau1[[#This Row],[Superficie]]</calculatedColumnFormula>
    </tableColumn>
    <tableColumn id="33" xr3:uid="{789DF79B-D927-4EF9-8E75-DA9CE3BC3F57}" name="Evolution _x000a_2024-2025" dataDxfId="15" dataCellStyle="Monétaire">
      <calculatedColumnFormula>(Tableau1[[#This Row],[2025]]-Tableau1[[#This Row],[2024]])/Tableau1[[#This Row],[2024]]</calculatedColumnFormula>
    </tableColumn>
    <tableColumn id="32" xr3:uid="{17C2BB79-CB17-4BC1-A0CC-5D2FF45BBC3B}" name="Evolution _x000a_Base-2025" dataDxfId="14" dataCellStyle="Monétaire">
      <calculatedColumnFormula>(Tableau1[[#This Row],[2025]]-Tableau1[[#This Row],[Cotisation de base TTC]])/Tableau1[[#This Row],[Cotisation de base TTC]]</calculatedColumnFormula>
    </tableColumn>
    <tableColumn id="34" xr3:uid="{F72C5BB3-4A20-497A-92A6-5EFC72CB70A3}" name="Prix négocié  _x000a_2025_x000a_Avenant" dataDxfId="13" dataCellStyle="Monétaire"/>
    <tableColumn id="35" xr3:uid="{AF341C09-5454-4E88-9F52-4CE162AD283A}" name="Prix au m²/€TTC_x000a_2025_x000a_Avenant" dataDxfId="12" dataCellStyle="Monétaire">
      <calculatedColumnFormula>Tableau1[[#This Row],[Prix négocié  
2025
Avenant]]/Tableau1[[#This Row],[Superficie]]</calculatedColumnFormula>
    </tableColumn>
    <tableColumn id="13" xr3:uid="{D2A64A27-8D64-439D-AD06-90C4C6182AD5}" name="FFB 2026" dataDxfId="11" dataCellStyle="Monét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2EAC-C6C5-4B6F-92EA-C4A30B84612C}">
  <sheetPr>
    <pageSetUpPr fitToPage="1"/>
  </sheetPr>
  <dimension ref="A2:AO86"/>
  <sheetViews>
    <sheetView showGridLines="0" tabSelected="1" zoomScale="85" zoomScaleNormal="85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AO81" sqref="AO81:AO82"/>
    </sheetView>
  </sheetViews>
  <sheetFormatPr baseColWidth="10" defaultColWidth="11.42578125" defaultRowHeight="14.25" x14ac:dyDescent="0.2"/>
  <cols>
    <col min="1" max="1" width="21.5703125" style="1" bestFit="1" customWidth="1"/>
    <col min="2" max="2" width="24.140625" style="1" customWidth="1"/>
    <col min="3" max="3" width="46.85546875" style="1" bestFit="1" customWidth="1"/>
    <col min="4" max="4" width="29.140625" style="1" bestFit="1" customWidth="1"/>
    <col min="5" max="5" width="33.42578125" style="1" bestFit="1" customWidth="1"/>
    <col min="6" max="8" width="23" style="1" customWidth="1"/>
    <col min="9" max="9" width="19.140625" style="1" customWidth="1"/>
    <col min="10" max="11" width="18.5703125" style="1" customWidth="1"/>
    <col min="12" max="12" width="23.42578125" style="1" bestFit="1" customWidth="1"/>
    <col min="13" max="13" width="23.42578125" style="1" customWidth="1"/>
    <col min="14" max="17" width="19.140625" style="1" customWidth="1"/>
    <col min="18" max="18" width="22.140625" style="1" customWidth="1"/>
    <col min="19" max="21" width="19.140625" style="1" customWidth="1"/>
    <col min="22" max="41" width="22.28515625" style="1" customWidth="1"/>
    <col min="42" max="16384" width="11.42578125" style="1"/>
  </cols>
  <sheetData>
    <row r="2" spans="1:41" ht="15" customHeight="1" x14ac:dyDescent="0.2"/>
    <row r="3" spans="1:41" ht="15" customHeight="1" x14ac:dyDescent="0.2">
      <c r="D3" s="134" t="s">
        <v>29</v>
      </c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</row>
    <row r="4" spans="1:41" ht="15" customHeight="1" x14ac:dyDescent="0.2">
      <c r="D4" s="134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</row>
    <row r="5" spans="1:41" ht="14.25" customHeight="1" x14ac:dyDescent="0.2">
      <c r="D5" s="134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</row>
    <row r="6" spans="1:41" ht="14.25" customHeight="1" x14ac:dyDescent="0.2"/>
    <row r="7" spans="1:41" ht="14.25" customHeight="1" x14ac:dyDescent="0.2"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9" spans="1:41" s="3" customFormat="1" ht="60" customHeight="1" x14ac:dyDescent="0.25">
      <c r="A9" s="136" t="s">
        <v>0</v>
      </c>
      <c r="B9" s="137"/>
      <c r="C9" s="137"/>
      <c r="D9" s="137"/>
      <c r="E9" s="138"/>
      <c r="F9" s="139" t="s">
        <v>13</v>
      </c>
      <c r="G9" s="140"/>
      <c r="H9" s="140"/>
      <c r="I9" s="138"/>
      <c r="J9" s="139" t="s">
        <v>8</v>
      </c>
      <c r="K9" s="140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38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</row>
    <row r="10" spans="1:41" s="6" customFormat="1" ht="72" x14ac:dyDescent="0.25">
      <c r="A10" s="7" t="s">
        <v>9</v>
      </c>
      <c r="B10" s="7" t="s">
        <v>28</v>
      </c>
      <c r="C10" s="8" t="s">
        <v>10</v>
      </c>
      <c r="D10" s="8" t="s">
        <v>1</v>
      </c>
      <c r="E10" s="9" t="s">
        <v>12</v>
      </c>
      <c r="F10" s="8" t="s">
        <v>14</v>
      </c>
      <c r="G10" s="8" t="s">
        <v>15</v>
      </c>
      <c r="H10" s="8" t="s">
        <v>16</v>
      </c>
      <c r="I10" s="8" t="s">
        <v>96</v>
      </c>
      <c r="J10" s="10" t="s">
        <v>30</v>
      </c>
      <c r="K10" s="10" t="s">
        <v>86</v>
      </c>
      <c r="L10" s="10" t="s">
        <v>88</v>
      </c>
      <c r="M10" s="10" t="s">
        <v>89</v>
      </c>
      <c r="N10" s="44" t="s">
        <v>33</v>
      </c>
      <c r="O10" s="25" t="s">
        <v>90</v>
      </c>
      <c r="P10" s="25" t="s">
        <v>31</v>
      </c>
      <c r="Q10" s="25" t="s">
        <v>106</v>
      </c>
      <c r="R10" s="25" t="s">
        <v>93</v>
      </c>
      <c r="S10" s="10" t="s">
        <v>91</v>
      </c>
      <c r="T10" s="10" t="s">
        <v>32</v>
      </c>
      <c r="U10" s="10" t="s">
        <v>92</v>
      </c>
      <c r="V10" s="10" t="s">
        <v>94</v>
      </c>
      <c r="W10" s="25" t="s">
        <v>151</v>
      </c>
      <c r="X10" s="25" t="s">
        <v>152</v>
      </c>
      <c r="Y10" s="25" t="s">
        <v>150</v>
      </c>
      <c r="Z10" s="25" t="s">
        <v>153</v>
      </c>
      <c r="AA10" s="25" t="s">
        <v>154</v>
      </c>
      <c r="AB10" s="123" t="s">
        <v>244</v>
      </c>
      <c r="AC10" s="123" t="s">
        <v>245</v>
      </c>
      <c r="AD10" s="123" t="s">
        <v>246</v>
      </c>
      <c r="AE10" s="123" t="s">
        <v>247</v>
      </c>
      <c r="AF10" s="123" t="s">
        <v>243</v>
      </c>
      <c r="AG10" s="123" t="s">
        <v>334</v>
      </c>
      <c r="AH10" s="123" t="s">
        <v>335</v>
      </c>
      <c r="AI10" s="25" t="s">
        <v>410</v>
      </c>
      <c r="AJ10" s="25">
        <v>2026</v>
      </c>
      <c r="AK10" s="25" t="s">
        <v>411</v>
      </c>
      <c r="AL10" s="25" t="s">
        <v>412</v>
      </c>
      <c r="AM10" s="25" t="s">
        <v>413</v>
      </c>
      <c r="AN10" s="25" t="s">
        <v>414</v>
      </c>
      <c r="AO10" s="25" t="s">
        <v>415</v>
      </c>
    </row>
    <row r="11" spans="1:41" s="4" customFormat="1" ht="20.100000000000001" customHeight="1" x14ac:dyDescent="0.25">
      <c r="A11" s="14">
        <v>1</v>
      </c>
      <c r="B11" s="15">
        <v>154</v>
      </c>
      <c r="C11" s="15" t="s">
        <v>17</v>
      </c>
      <c r="D11" s="15" t="s">
        <v>71</v>
      </c>
      <c r="E11" s="33">
        <v>32</v>
      </c>
      <c r="F11" s="5" t="s">
        <v>83</v>
      </c>
      <c r="G11" s="5" t="s">
        <v>84</v>
      </c>
      <c r="H11" s="5" t="s">
        <v>85</v>
      </c>
      <c r="I11" s="5" t="s">
        <v>100</v>
      </c>
      <c r="J11" s="66">
        <v>3500</v>
      </c>
      <c r="K11" s="5" t="s">
        <v>87</v>
      </c>
      <c r="L11" s="20">
        <v>2473.66</v>
      </c>
      <c r="M11" s="20">
        <f>Tableau1[[#This Row],[Cotisation de base TTC]]/Tableau1[[#This Row],[Superficie]]</f>
        <v>0.70675999999999994</v>
      </c>
      <c r="N11" s="26">
        <v>1521.4</v>
      </c>
      <c r="O11" s="12">
        <v>1055.2</v>
      </c>
      <c r="P11" s="20">
        <v>2605.2399999999998</v>
      </c>
      <c r="Q11" s="23">
        <f>(Tableau1[[#This Row],[2022]]-Tableau1[[#This Row],[Cotisation de base TTC]])/Tableau1[[#This Row],[Cotisation de base TTC]]</f>
        <v>5.3192435500432532E-2</v>
      </c>
      <c r="R11" s="24">
        <f>Tableau1[[#This Row],[2022]]/Tableau1[[#This Row],[Superficie]]</f>
        <v>0.74435428571428564</v>
      </c>
      <c r="S11" s="29">
        <v>1142.8</v>
      </c>
      <c r="T11" s="20">
        <v>2816.03</v>
      </c>
      <c r="U11" s="30">
        <f>(Tableau1[[#This Row],[2023]]-Tableau1[[#This Row],[2022]])/Tableau1[[#This Row],[2022]]</f>
        <v>8.091001212940091E-2</v>
      </c>
      <c r="V11" s="20">
        <f>Tableau1[[#This Row],[2023]]/Tableau1[[#This Row],[Superficie]]</f>
        <v>0.80458000000000007</v>
      </c>
      <c r="W11" s="40">
        <v>1153.7</v>
      </c>
      <c r="X11" s="36">
        <v>2879.4</v>
      </c>
      <c r="Y11" s="36">
        <f>Tableau1[[#This Row],[2024]]/Tableau1[[#This Row],[Superficie]]</f>
        <v>0.82268571428571435</v>
      </c>
      <c r="Z11" s="42">
        <f>(Tableau1[[#This Row],[2024]]-Tableau1[[#This Row],[2023]])/Tableau1[[#This Row],[2023]]</f>
        <v>2.2503311399381359E-2</v>
      </c>
      <c r="AA11" s="42">
        <f>(Tableau1[[#This Row],[2024]]-Tableau1[[#This Row],[Cotisation de base TTC]])/Tableau1[[#This Row],[Cotisation de base TTC]]</f>
        <v>0.16402415853431768</v>
      </c>
      <c r="AB11" s="40">
        <v>1174.5999999999999</v>
      </c>
      <c r="AC11" s="36">
        <v>3206.88</v>
      </c>
      <c r="AD11" s="36">
        <f>Tableau1[[#This Row],[2025]]/Tableau1[[#This Row],[Superficie]]</f>
        <v>0.91625142857142861</v>
      </c>
      <c r="AE11" s="42">
        <f>(Tableau1[[#This Row],[2025]]-Tableau1[[#This Row],[2024]])/Tableau1[[#This Row],[2024]]</f>
        <v>0.11373202750573036</v>
      </c>
      <c r="AF11" s="42">
        <f>(Tableau1[[#This Row],[2025]]-Tableau1[[#This Row],[Cotisation de base TTC]])/Tableau1[[#This Row],[Cotisation de base TTC]]</f>
        <v>0.29641098615007733</v>
      </c>
      <c r="AG11" s="36">
        <v>3016.48</v>
      </c>
      <c r="AH11" s="36">
        <f>Tableau1[[#This Row],[Prix négocié  
2025
Avenant]]/Tableau1[[#This Row],[Superficie]]</f>
        <v>0.8618514285714286</v>
      </c>
      <c r="AI11" s="40">
        <v>1183.5</v>
      </c>
      <c r="AJ11" s="36">
        <v>3204.29</v>
      </c>
      <c r="AK11" s="36">
        <f>AJ11/Tableau1[[#This Row],[Superficie]]</f>
        <v>0.91551142857142853</v>
      </c>
      <c r="AL11" s="42">
        <f>(AJ11-Tableau1[[#This Row],[Prix négocié  
2025
Avenant]])/Tableau1[[#This Row],[Cotisation de base TTC]]</f>
        <v>7.5923934574678803E-2</v>
      </c>
      <c r="AM11" s="42">
        <f>(AJ11-Tableau1[[#This Row],[Cotisation de base TTC]])/Tableau1[[#This Row],[Cotisation de base TTC]]</f>
        <v>0.29536395462593895</v>
      </c>
      <c r="AN11" s="36"/>
      <c r="AO11" s="36"/>
    </row>
    <row r="12" spans="1:41" s="4" customFormat="1" ht="20.100000000000001" customHeight="1" x14ac:dyDescent="0.25">
      <c r="A12" s="14" t="s">
        <v>18</v>
      </c>
      <c r="B12" s="15" t="s">
        <v>34</v>
      </c>
      <c r="C12" s="15" t="s">
        <v>35</v>
      </c>
      <c r="D12" s="15" t="s">
        <v>2</v>
      </c>
      <c r="E12" s="64">
        <v>36</v>
      </c>
      <c r="F12" s="5" t="s">
        <v>83</v>
      </c>
      <c r="G12" s="5" t="s">
        <v>84</v>
      </c>
      <c r="H12" s="5" t="s">
        <v>85</v>
      </c>
      <c r="I12" s="5" t="s">
        <v>99</v>
      </c>
      <c r="J12" s="66">
        <v>4400</v>
      </c>
      <c r="K12" s="5" t="s">
        <v>87</v>
      </c>
      <c r="L12" s="20">
        <v>2834.49</v>
      </c>
      <c r="M12" s="20">
        <f>Tableau1[[#This Row],[Cotisation de base TTC]]/Tableau1[[#This Row],[Superficie]]</f>
        <v>0.64420227272727271</v>
      </c>
      <c r="N12" s="26">
        <v>1739.89</v>
      </c>
      <c r="O12" s="12">
        <v>1055.2</v>
      </c>
      <c r="P12" s="20">
        <v>2985.86</v>
      </c>
      <c r="Q12" s="23">
        <f>(Tableau1[[#This Row],[2022]]-Tableau1[[#This Row],[Cotisation de base TTC]])/Tableau1[[#This Row],[Cotisation de base TTC]]</f>
        <v>5.3402904931751517E-2</v>
      </c>
      <c r="R12" s="24">
        <f>Tableau1[[#This Row],[2022]]/Tableau1[[#This Row],[Superficie]]</f>
        <v>0.67860454545454552</v>
      </c>
      <c r="S12" s="29">
        <v>1142.8</v>
      </c>
      <c r="T12" s="20">
        <v>3228.19</v>
      </c>
      <c r="U12" s="30">
        <f>(Tableau1[[#This Row],[2023]]-Tableau1[[#This Row],[2022]])/Tableau1[[#This Row],[2022]]</f>
        <v>8.115919701526525E-2</v>
      </c>
      <c r="V12" s="20">
        <f>Tableau1[[#This Row],[2023]]/Tableau1[[#This Row],[Superficie]]</f>
        <v>0.7336795454545455</v>
      </c>
      <c r="W12" s="40">
        <v>1153.7</v>
      </c>
      <c r="X12" s="36">
        <v>3278.1</v>
      </c>
      <c r="Y12" s="36">
        <f>Tableau1[[#This Row],[2024]]/Tableau1[[#This Row],[Superficie]]</f>
        <v>0.74502272727272723</v>
      </c>
      <c r="Z12" s="42">
        <f>(Tableau1[[#This Row],[2024]]-Tableau1[[#This Row],[2023]])/Tableau1[[#This Row],[2023]]</f>
        <v>1.5460676106424917E-2</v>
      </c>
      <c r="AA12" s="42">
        <f>(Tableau1[[#This Row],[2024]]-Tableau1[[#This Row],[Cotisation de base TTC]])/Tableau1[[#This Row],[Cotisation de base TTC]]</f>
        <v>0.15650434469692967</v>
      </c>
      <c r="AB12" s="40">
        <v>1174.5999999999999</v>
      </c>
      <c r="AC12" s="36">
        <v>3714.24</v>
      </c>
      <c r="AD12" s="36">
        <f>Tableau1[[#This Row],[2025]]/Tableau1[[#This Row],[Superficie]]</f>
        <v>0.84414545454545453</v>
      </c>
      <c r="AE12" s="42">
        <f>(Tableau1[[#This Row],[2025]]-Tableau1[[#This Row],[2024]])/Tableau1[[#This Row],[2024]]</f>
        <v>0.13304658186144411</v>
      </c>
      <c r="AF12" s="42">
        <f>(Tableau1[[#This Row],[2025]]-Tableau1[[#This Row],[Cotisation de base TTC]])/Tableau1[[#This Row],[Cotisation de base TTC]]</f>
        <v>0.3103732946667655</v>
      </c>
      <c r="AG12" s="36">
        <v>3405.23</v>
      </c>
      <c r="AH12" s="36">
        <f>Tableau1[[#This Row],[Prix négocié  
2025
Avenant]]/Tableau1[[#This Row],[Superficie]]</f>
        <v>0.77391590909090913</v>
      </c>
      <c r="AI12" s="40">
        <v>1183.5</v>
      </c>
      <c r="AJ12" s="36">
        <v>3671.26</v>
      </c>
      <c r="AK12" s="36">
        <f>AJ12/Tableau1[[#This Row],[Superficie]]</f>
        <v>0.8343772727272728</v>
      </c>
      <c r="AL12" s="42">
        <f>(AJ12-Tableau1[[#This Row],[Prix négocié  
2025
Avenant]])/Tableau1[[#This Row],[Cotisation de base TTC]]</f>
        <v>9.3854626405455735E-2</v>
      </c>
      <c r="AM12" s="42">
        <f>(AJ12-Tableau1[[#This Row],[Cotisation de base TTC]])/Tableau1[[#This Row],[Cotisation de base TTC]]</f>
        <v>0.29521007306429042</v>
      </c>
      <c r="AN12" s="36"/>
      <c r="AO12" s="36"/>
    </row>
    <row r="13" spans="1:41" s="4" customFormat="1" ht="20.100000000000001" customHeight="1" x14ac:dyDescent="0.25">
      <c r="A13" s="14" t="s">
        <v>11</v>
      </c>
      <c r="B13" s="15" t="s">
        <v>36</v>
      </c>
      <c r="C13" s="15" t="s">
        <v>37</v>
      </c>
      <c r="D13" s="15" t="s">
        <v>72</v>
      </c>
      <c r="E13" s="64">
        <v>33</v>
      </c>
      <c r="F13" s="5" t="s">
        <v>83</v>
      </c>
      <c r="G13" s="5" t="s">
        <v>95</v>
      </c>
      <c r="H13" s="5" t="s">
        <v>85</v>
      </c>
      <c r="I13" s="5" t="s">
        <v>97</v>
      </c>
      <c r="J13" s="66">
        <v>3600</v>
      </c>
      <c r="K13" s="5" t="s">
        <v>98</v>
      </c>
      <c r="L13" s="20">
        <v>2334.5</v>
      </c>
      <c r="M13" s="20">
        <f>Tableau1[[#This Row],[Cotisation de base TTC]]/Tableau1[[#This Row],[Superficie]]</f>
        <v>0.64847222222222223</v>
      </c>
      <c r="N13" s="20"/>
      <c r="O13" s="20"/>
      <c r="P13" s="26">
        <v>1580.5</v>
      </c>
      <c r="Q13" s="23"/>
      <c r="R13" s="20">
        <f>Tableau1[[#This Row],[Cotisation de base TTC]]/Tableau1[[#This Row],[Superficie]]</f>
        <v>0.64847222222222223</v>
      </c>
      <c r="S13" s="29">
        <v>1142.8</v>
      </c>
      <c r="T13" s="20">
        <v>2496.98</v>
      </c>
      <c r="U13" s="30">
        <f>(Tableau1[[#This Row],[2023]]-Tableau1[[#This Row],[Cotisation de base TTC]])/Tableau1[[#This Row],[Cotisation de base TTC]]</f>
        <v>6.9599485971300071E-2</v>
      </c>
      <c r="V13" s="20">
        <f>Tableau1[[#This Row],[2023]]/Tableau1[[#This Row],[Superficie]]</f>
        <v>0.69360555555555559</v>
      </c>
      <c r="W13" s="40">
        <v>1153.7</v>
      </c>
      <c r="X13" s="36">
        <v>2951.03</v>
      </c>
      <c r="Y13" s="36">
        <f>Tableau1[[#This Row],[2024]]/Tableau1[[#This Row],[Superficie]]</f>
        <v>0.81973055555555563</v>
      </c>
      <c r="Z13" s="83">
        <f>(Tableau1[[#This Row],[2024]]-Tableau1[[#This Row],[2023]])/Tableau1[[#This Row],[2023]]</f>
        <v>0.18183966231207305</v>
      </c>
      <c r="AA13" s="83">
        <f>(Tableau1[[#This Row],[2024]]-Tableau1[[#This Row],[Cotisation de base TTC]])/Tableau1[[#This Row],[Cotisation de base TTC]]</f>
        <v>0.26409509530948821</v>
      </c>
      <c r="AB13" s="40">
        <v>1174.5999999999999</v>
      </c>
      <c r="AC13" s="36">
        <v>3285.14</v>
      </c>
      <c r="AD13" s="36">
        <f>Tableau1[[#This Row],[2025]]/Tableau1[[#This Row],[Superficie]]</f>
        <v>0.9125388888888889</v>
      </c>
      <c r="AE13" s="42">
        <f>(Tableau1[[#This Row],[2025]]-Tableau1[[#This Row],[2024]])/Tableau1[[#This Row],[2024]]</f>
        <v>0.11321809673232724</v>
      </c>
      <c r="AF13" s="42">
        <f>(Tableau1[[#This Row],[2025]]-Tableau1[[#This Row],[Cotisation de base TTC]])/Tableau1[[#This Row],[Cotisation de base TTC]]</f>
        <v>0.40721353608909827</v>
      </c>
      <c r="AG13" s="36"/>
      <c r="AH13" s="36"/>
      <c r="AI13" s="40">
        <v>1183.5</v>
      </c>
      <c r="AJ13" s="36">
        <v>3490.09</v>
      </c>
      <c r="AK13" s="36">
        <f>AJ13/Tableau1[[#This Row],[Superficie]]</f>
        <v>0.96946944444444449</v>
      </c>
      <c r="AL13" s="42">
        <f>(AJ13-Tableau1[[#This Row],[2025]])/Tableau1[[#This Row],[Cotisation de base TTC]]</f>
        <v>8.7791818376526137E-2</v>
      </c>
      <c r="AM13" s="42">
        <f>(AJ13-Tableau1[[#This Row],[Cotisation de base TTC]])/Tableau1[[#This Row],[Cotisation de base TTC]]</f>
        <v>0.49500535446562438</v>
      </c>
      <c r="AN13" s="36"/>
      <c r="AO13" s="36"/>
    </row>
    <row r="14" spans="1:41" s="13" customFormat="1" ht="20.100000000000001" customHeight="1" x14ac:dyDescent="0.25">
      <c r="A14" s="47" t="s">
        <v>38</v>
      </c>
      <c r="B14" s="48" t="s">
        <v>39</v>
      </c>
      <c r="C14" s="48" t="s">
        <v>40</v>
      </c>
      <c r="D14" s="48" t="s">
        <v>41</v>
      </c>
      <c r="E14" s="65">
        <v>0</v>
      </c>
      <c r="F14" s="49" t="s">
        <v>83</v>
      </c>
      <c r="G14" s="49" t="s">
        <v>102</v>
      </c>
      <c r="H14" s="49" t="s">
        <v>85</v>
      </c>
      <c r="I14" s="49" t="s">
        <v>101</v>
      </c>
      <c r="J14" s="67">
        <v>5116</v>
      </c>
      <c r="K14" s="49" t="s">
        <v>76</v>
      </c>
      <c r="L14" s="21">
        <v>199.5</v>
      </c>
      <c r="M14" s="21">
        <f>Tableau1[[#This Row],[Cotisation de base TTC]]/Tableau1[[#This Row],[Superficie]]</f>
        <v>3.8995308835027366E-2</v>
      </c>
      <c r="N14" s="21">
        <v>107.22</v>
      </c>
      <c r="O14" s="21"/>
      <c r="P14" s="21">
        <v>199.5</v>
      </c>
      <c r="Q14" s="50">
        <f>(Tableau1[[#This Row],[2022]]-Tableau1[[#This Row],[Cotisation de base TTC]])/Tableau1[[#This Row],[Cotisation de base TTC]]</f>
        <v>0</v>
      </c>
      <c r="R14" s="51">
        <f>Tableau1[[#This Row],[2022]]/Tableau1[[#This Row],[Superficie]]</f>
        <v>3.8995308835027366E-2</v>
      </c>
      <c r="S14" s="52"/>
      <c r="T14" s="21">
        <v>232.18</v>
      </c>
      <c r="U14" s="53">
        <f>(Tableau1[[#This Row],[2023]]-Tableau1[[#This Row],[Cotisation de base TTC]])/Tableau1[[#This Row],[Cotisation de base TTC]]</f>
        <v>0.16380952380952385</v>
      </c>
      <c r="V14" s="21">
        <f>Tableau1[[#This Row],[2023]]/Tableau1[[#This Row],[Superficie]]</f>
        <v>4.5383111806098518E-2</v>
      </c>
      <c r="W14" s="54">
        <v>1153.7</v>
      </c>
      <c r="X14" s="55"/>
      <c r="Y14" s="55">
        <f>Tableau1[[#This Row],[2024]]/Tableau1[[#This Row],[Superficie]]</f>
        <v>0</v>
      </c>
      <c r="Z14" s="56">
        <f>(Tableau1[[#This Row],[2024]]-Tableau1[[#This Row],[2023]])/Tableau1[[#This Row],[2023]]</f>
        <v>-1</v>
      </c>
      <c r="AA14" s="56">
        <f>(Tableau1[[#This Row],[2024]]-Tableau1[[#This Row],[Cotisation de base TTC]])/Tableau1[[#This Row],[Cotisation de base TTC]]</f>
        <v>-1</v>
      </c>
      <c r="AB14" s="40">
        <v>1174.5999999999999</v>
      </c>
      <c r="AC14" s="55"/>
      <c r="AD14" s="55">
        <f>Tableau1[[#This Row],[2025]]/Tableau1[[#This Row],[Superficie]]</f>
        <v>0</v>
      </c>
      <c r="AE14" s="56" t="e">
        <f>(Tableau1[[#This Row],[2025]]-Tableau1[[#This Row],[2024]])/Tableau1[[#This Row],[2024]]</f>
        <v>#DIV/0!</v>
      </c>
      <c r="AF14" s="56">
        <f>(Tableau1[[#This Row],[2025]]-Tableau1[[#This Row],[Cotisation de base TTC]])/Tableau1[[#This Row],[Cotisation de base TTC]]</f>
        <v>-1</v>
      </c>
      <c r="AG14" s="36"/>
      <c r="AH14" s="55"/>
      <c r="AI14" s="40"/>
      <c r="AJ14" s="55">
        <v>330.22</v>
      </c>
      <c r="AK14" s="36">
        <f>AJ14/Tableau1[[#This Row],[Superficie]]</f>
        <v>6.4546520719311967E-2</v>
      </c>
      <c r="AL14" s="42">
        <f>(AJ14-Tableau1[[#This Row],[2025]])/Tableau1[[#This Row],[Cotisation de base TTC]]</f>
        <v>1.6552380952380954</v>
      </c>
      <c r="AM14" s="42">
        <f>(AJ14-Tableau1[[#This Row],[Cotisation de base TTC]])/Tableau1[[#This Row],[Cotisation de base TTC]]</f>
        <v>0.6552380952380954</v>
      </c>
      <c r="AN14" s="36"/>
      <c r="AO14" s="55"/>
    </row>
    <row r="15" spans="1:41" s="4" customFormat="1" ht="20.100000000000001" customHeight="1" x14ac:dyDescent="0.25">
      <c r="A15" s="14" t="s">
        <v>42</v>
      </c>
      <c r="B15" s="15" t="s">
        <v>43</v>
      </c>
      <c r="C15" s="15" t="s">
        <v>44</v>
      </c>
      <c r="D15" s="15" t="s">
        <v>73</v>
      </c>
      <c r="E15" s="64">
        <v>10</v>
      </c>
      <c r="F15" s="5" t="s">
        <v>83</v>
      </c>
      <c r="G15" s="5" t="s">
        <v>103</v>
      </c>
      <c r="H15" s="5" t="s">
        <v>85</v>
      </c>
      <c r="I15" s="5" t="s">
        <v>104</v>
      </c>
      <c r="J15" s="66">
        <v>2370</v>
      </c>
      <c r="K15" s="5" t="s">
        <v>105</v>
      </c>
      <c r="L15" s="20">
        <v>1779.85</v>
      </c>
      <c r="M15" s="20">
        <f>Tableau1[[#This Row],[Cotisation de base TTC]]/Tableau1[[#This Row],[Superficie]]</f>
        <v>0.75099156118143451</v>
      </c>
      <c r="N15" s="26">
        <v>780.95</v>
      </c>
      <c r="O15" s="12">
        <v>1055.2</v>
      </c>
      <c r="P15" s="20">
        <v>1834.95</v>
      </c>
      <c r="Q15" s="23">
        <f>(Tableau1[[#This Row],[2022]]-Tableau1[[#This Row],[Cotisation de base TTC]])/Tableau1[[#This Row],[Cotisation de base TTC]]</f>
        <v>3.095766497176736E-2</v>
      </c>
      <c r="R15" s="24">
        <f>Tableau1[[#This Row],[2022]]/Tableau1[[#This Row],[Superficie]]</f>
        <v>0.7742405063291139</v>
      </c>
      <c r="S15" s="29">
        <v>1142.8</v>
      </c>
      <c r="T15" s="20">
        <v>2084.38</v>
      </c>
      <c r="U15" s="30">
        <f>(Tableau1[[#This Row],[2023]]-Tableau1[[#This Row],[2022]])/Tableau1[[#This Row],[2022]]</f>
        <v>0.13593285920597295</v>
      </c>
      <c r="V15" s="20">
        <f>Tableau1[[#This Row],[2023]]/Tableau1[[#This Row],[Superficie]]</f>
        <v>0.87948523206751061</v>
      </c>
      <c r="W15" s="40">
        <v>1153.7</v>
      </c>
      <c r="X15" s="36">
        <v>2052.14</v>
      </c>
      <c r="Y15" s="36">
        <f>Tableau1[[#This Row],[2024]]/Tableau1[[#This Row],[Superficie]]</f>
        <v>0.86588185654008432</v>
      </c>
      <c r="Z15" s="42">
        <f>(Tableau1[[#This Row],[2024]]-Tableau1[[#This Row],[2023]])/Tableau1[[#This Row],[2023]]</f>
        <v>-1.5467429163588326E-2</v>
      </c>
      <c r="AA15" s="42">
        <f>(Tableau1[[#This Row],[2024]]-Tableau1[[#This Row],[Cotisation de base TTC]])/Tableau1[[#This Row],[Cotisation de base TTC]]</f>
        <v>0.15298480209006377</v>
      </c>
      <c r="AB15" s="40">
        <v>1174.5999999999999</v>
      </c>
      <c r="AC15" s="36">
        <v>2362.8000000000002</v>
      </c>
      <c r="AD15" s="36">
        <f>Tableau1[[#This Row],[2025]]/Tableau1[[#This Row],[Superficie]]</f>
        <v>0.99696202531645572</v>
      </c>
      <c r="AE15" s="42">
        <f>(Tableau1[[#This Row],[2025]]-Tableau1[[#This Row],[2024]])/Tableau1[[#This Row],[2024]]</f>
        <v>0.15138343387878037</v>
      </c>
      <c r="AF15" s="42">
        <f>(Tableau1[[#This Row],[2025]]-Tableau1[[#This Row],[Cotisation de base TTC]])/Tableau1[[#This Row],[Cotisation de base TTC]]</f>
        <v>0.32752760064050357</v>
      </c>
      <c r="AG15" s="36">
        <v>2210.08</v>
      </c>
      <c r="AH15" s="36">
        <f>Tableau1[[#This Row],[Prix négocié  
2025
Avenant]]/Tableau1[[#This Row],[Superficie]]</f>
        <v>0.93252320675105482</v>
      </c>
      <c r="AI15" s="40">
        <v>1183.5</v>
      </c>
      <c r="AJ15" s="36">
        <v>2299.16</v>
      </c>
      <c r="AK15" s="36">
        <f>AJ15/Tableau1[[#This Row],[Superficie]]</f>
        <v>0.97010970464135016</v>
      </c>
      <c r="AL15" s="42">
        <f>(AJ15-Tableau1[[#This Row],[Prix négocié  
2025
Avenant]])/Tableau1[[#This Row],[Cotisation de base TTC]]</f>
        <v>5.0049161446189247E-2</v>
      </c>
      <c r="AM15" s="42">
        <f>(AJ15-Tableau1[[#This Row],[Cotisation de base TTC]])/Tableau1[[#This Row],[Cotisation de base TTC]]</f>
        <v>0.29177177852066183</v>
      </c>
      <c r="AN15" s="36"/>
      <c r="AO15" s="36"/>
    </row>
    <row r="16" spans="1:41" s="4" customFormat="1" ht="20.100000000000001" customHeight="1" x14ac:dyDescent="0.25">
      <c r="A16" s="14" t="s">
        <v>45</v>
      </c>
      <c r="B16" s="15" t="s">
        <v>46</v>
      </c>
      <c r="C16" s="14" t="s">
        <v>47</v>
      </c>
      <c r="D16" s="14" t="s">
        <v>74</v>
      </c>
      <c r="E16" s="62">
        <v>6</v>
      </c>
      <c r="F16" s="5" t="s">
        <v>83</v>
      </c>
      <c r="G16" s="5" t="s">
        <v>108</v>
      </c>
      <c r="H16" s="5" t="s">
        <v>85</v>
      </c>
      <c r="I16" s="5" t="s">
        <v>107</v>
      </c>
      <c r="J16" s="66">
        <v>578</v>
      </c>
      <c r="K16" s="5" t="s">
        <v>109</v>
      </c>
      <c r="L16" s="20">
        <v>623.11</v>
      </c>
      <c r="M16" s="20">
        <f>Tableau1[[#This Row],[Cotisation de base TTC]]/Tableau1[[#This Row],[Superficie]]</f>
        <v>1.078044982698962</v>
      </c>
      <c r="N16" s="26">
        <v>154.09</v>
      </c>
      <c r="O16" s="12">
        <v>1055.2</v>
      </c>
      <c r="P16" s="20">
        <v>634.79999999999995</v>
      </c>
      <c r="Q16" s="23">
        <f>(Tableau1[[#This Row],[2022]]-Tableau1[[#This Row],[Cotisation de base TTC]])/Tableau1[[#This Row],[Cotisation de base TTC]]</f>
        <v>1.8760732454943654E-2</v>
      </c>
      <c r="R16" s="24">
        <f>Tableau1[[#This Row],[2022]]/Tableau1[[#This Row],[Superficie]]</f>
        <v>1.0982698961937716</v>
      </c>
      <c r="S16" s="29">
        <v>1142.8</v>
      </c>
      <c r="T16" s="20">
        <v>681.99</v>
      </c>
      <c r="U16" s="30">
        <f>(Tableau1[[#This Row],[2023]]-Tableau1[[#This Row],[2022]])/Tableau1[[#This Row],[2022]]</f>
        <v>7.4338374291115408E-2</v>
      </c>
      <c r="V16" s="20">
        <f>Tableau1[[#This Row],[2023]]/Tableau1[[#This Row],[Superficie]]</f>
        <v>1.1799134948096885</v>
      </c>
      <c r="W16" s="40">
        <v>1153.7</v>
      </c>
      <c r="X16" s="36">
        <v>649.6</v>
      </c>
      <c r="Y16" s="36">
        <f>Tableau1[[#This Row],[2024]]/Tableau1[[#This Row],[Superficie]]</f>
        <v>1.1238754325259517</v>
      </c>
      <c r="Z16" s="42">
        <f>(Tableau1[[#This Row],[2024]]-Tableau1[[#This Row],[2023]])/Tableau1[[#This Row],[2023]]</f>
        <v>-4.7493365005351965E-2</v>
      </c>
      <c r="AA16" s="42">
        <f>(Tableau1[[#This Row],[2024]]-Tableau1[[#This Row],[Cotisation de base TTC]])/Tableau1[[#This Row],[Cotisation de base TTC]]</f>
        <v>4.2512557975317375E-2</v>
      </c>
      <c r="AB16" s="40">
        <v>1174.5999999999999</v>
      </c>
      <c r="AC16" s="36">
        <v>780.53</v>
      </c>
      <c r="AD16" s="36">
        <f>Tableau1[[#This Row],[2025]]/Tableau1[[#This Row],[Superficie]]</f>
        <v>1.3503979238754324</v>
      </c>
      <c r="AE16" s="112">
        <f>(Tableau1[[#This Row],[2025]]-Tableau1[[#This Row],[2024]])/Tableau1[[#This Row],[2024]]</f>
        <v>0.20155480295566494</v>
      </c>
      <c r="AF16" s="42">
        <f>(Tableau1[[#This Row],[2025]]-Tableau1[[#This Row],[Cotisation de base TTC]])/Tableau1[[#This Row],[Cotisation de base TTC]]</f>
        <v>0.25263597117683867</v>
      </c>
      <c r="AG16" s="36">
        <v>680.15</v>
      </c>
      <c r="AH16" s="36">
        <f>Tableau1[[#This Row],[Prix négocié  
2025
Avenant]]/Tableau1[[#This Row],[Superficie]]</f>
        <v>1.1767301038062283</v>
      </c>
      <c r="AI16" s="40">
        <v>1183.5</v>
      </c>
      <c r="AJ16" s="36">
        <v>719.14</v>
      </c>
      <c r="AK16" s="36">
        <f>AJ16/Tableau1[[#This Row],[Superficie]]</f>
        <v>1.2441868512110725</v>
      </c>
      <c r="AL16" s="42">
        <f>(AJ16-Tableau1[[#This Row],[Prix négocié  
2025
Avenant]])/Tableau1[[#This Row],[Cotisation de base TTC]]</f>
        <v>6.2573221421578867E-2</v>
      </c>
      <c r="AM16" s="42">
        <f>(AJ16-Tableau1[[#This Row],[Cotisation de base TTC]])/Tableau1[[#This Row],[Cotisation de base TTC]]</f>
        <v>0.15411404085955926</v>
      </c>
      <c r="AN16" s="36"/>
      <c r="AO16" s="36"/>
    </row>
    <row r="17" spans="1:41" s="4" customFormat="1" ht="20.100000000000001" customHeight="1" x14ac:dyDescent="0.25">
      <c r="A17" s="14" t="s">
        <v>48</v>
      </c>
      <c r="B17" s="15" t="s">
        <v>49</v>
      </c>
      <c r="C17" s="14" t="s">
        <v>50</v>
      </c>
      <c r="D17" s="14" t="s">
        <v>3</v>
      </c>
      <c r="E17" s="62">
        <v>30</v>
      </c>
      <c r="F17" s="5" t="s">
        <v>83</v>
      </c>
      <c r="G17" s="5" t="s">
        <v>19</v>
      </c>
      <c r="H17" s="5" t="s">
        <v>85</v>
      </c>
      <c r="I17" s="5" t="s">
        <v>110</v>
      </c>
      <c r="J17" s="66">
        <v>4300</v>
      </c>
      <c r="K17" s="5" t="s">
        <v>98</v>
      </c>
      <c r="L17" s="20">
        <v>2865.5</v>
      </c>
      <c r="M17" s="20">
        <f>Tableau1[[#This Row],[Cotisation de base TTC]]/Tableau1[[#This Row],[Superficie]]</f>
        <v>0.6663953488372093</v>
      </c>
      <c r="N17" s="20"/>
      <c r="O17" s="20"/>
      <c r="P17" s="26">
        <v>2173.7399999999998</v>
      </c>
      <c r="Q17" s="23"/>
      <c r="R17" s="20">
        <f>Tableau1[[#This Row],[Cotisation de base TTC]]/Tableau1[[#This Row],[Superficie]]</f>
        <v>0.6663953488372093</v>
      </c>
      <c r="S17" s="29">
        <v>1142.8</v>
      </c>
      <c r="T17" s="20">
        <v>3066</v>
      </c>
      <c r="U17" s="30">
        <f>(Tableau1[[#This Row],[2023]]-Tableau1[[#This Row],[Cotisation de base TTC]])/Tableau1[[#This Row],[Cotisation de base TTC]]</f>
        <v>6.997033676496249E-2</v>
      </c>
      <c r="V17" s="20">
        <f>Tableau1[[#This Row],[2023]]/Tableau1[[#This Row],[Superficie]]</f>
        <v>0.71302325581395354</v>
      </c>
      <c r="W17" s="40">
        <v>1153.7</v>
      </c>
      <c r="X17" s="36">
        <v>3110.32</v>
      </c>
      <c r="Y17" s="36">
        <f>Tableau1[[#This Row],[2024]]/Tableau1[[#This Row],[Superficie]]</f>
        <v>0.72333023255813955</v>
      </c>
      <c r="Z17" s="42">
        <f>(Tableau1[[#This Row],[2024]]-Tableau1[[#This Row],[2023]])/Tableau1[[#This Row],[2023]]</f>
        <v>1.4455316373124645E-2</v>
      </c>
      <c r="AA17" s="42">
        <f>(Tableau1[[#This Row],[2024]]-Tableau1[[#This Row],[Cotisation de base TTC]])/Tableau1[[#This Row],[Cotisation de base TTC]]</f>
        <v>8.5437096492758741E-2</v>
      </c>
      <c r="AB17" s="40">
        <v>1174.5999999999999</v>
      </c>
      <c r="AC17" s="36">
        <v>3459.32</v>
      </c>
      <c r="AD17" s="36">
        <f>Tableau1[[#This Row],[2025]]/Tableau1[[#This Row],[Superficie]]</f>
        <v>0.80449302325581395</v>
      </c>
      <c r="AE17" s="42">
        <f>(Tableau1[[#This Row],[2025]]-Tableau1[[#This Row],[2024]])/Tableau1[[#This Row],[2024]]</f>
        <v>0.11220710409218343</v>
      </c>
      <c r="AF17" s="42">
        <f>(Tableau1[[#This Row],[2025]]-Tableau1[[#This Row],[Cotisation de base TTC]])/Tableau1[[#This Row],[Cotisation de base TTC]]</f>
        <v>0.20723084976443906</v>
      </c>
      <c r="AG17" s="36"/>
      <c r="AH17" s="36"/>
      <c r="AI17" s="40">
        <v>1183.5</v>
      </c>
      <c r="AJ17" s="36">
        <v>3657.95</v>
      </c>
      <c r="AK17" s="36">
        <f>AJ17/Tableau1[[#This Row],[Superficie]]</f>
        <v>0.85068604651162782</v>
      </c>
      <c r="AL17" s="42">
        <f>(AJ17-Tableau1[[#This Row],[2025]])/Tableau1[[#This Row],[Cotisation de base TTC]]</f>
        <v>6.9317745594137031E-2</v>
      </c>
      <c r="AM17" s="42">
        <f>(AJ17-Tableau1[[#This Row],[Cotisation de base TTC]])/Tableau1[[#This Row],[Cotisation de base TTC]]</f>
        <v>0.27654859535857612</v>
      </c>
      <c r="AN17" s="36"/>
      <c r="AO17" s="36"/>
    </row>
    <row r="18" spans="1:41" s="4" customFormat="1" ht="20.100000000000001" customHeight="1" x14ac:dyDescent="0.25">
      <c r="A18" s="14" t="s">
        <v>51</v>
      </c>
      <c r="B18" s="16" t="s">
        <v>52</v>
      </c>
      <c r="C18" s="14" t="s">
        <v>53</v>
      </c>
      <c r="D18" s="14" t="s">
        <v>4</v>
      </c>
      <c r="E18" s="62">
        <v>15</v>
      </c>
      <c r="F18" s="5" t="s">
        <v>83</v>
      </c>
      <c r="G18" s="5" t="s">
        <v>112</v>
      </c>
      <c r="H18" s="5" t="s">
        <v>85</v>
      </c>
      <c r="I18" s="5" t="s">
        <v>111</v>
      </c>
      <c r="J18" s="66">
        <v>2500</v>
      </c>
      <c r="K18" s="5" t="s">
        <v>109</v>
      </c>
      <c r="L18" s="20">
        <v>1828.07</v>
      </c>
      <c r="M18" s="20">
        <f>Tableau1[[#This Row],[Cotisation de base TTC]]/Tableau1[[#This Row],[Superficie]]</f>
        <v>0.73122799999999999</v>
      </c>
      <c r="N18" s="20"/>
      <c r="O18" s="20"/>
      <c r="P18" s="26">
        <v>1881.36</v>
      </c>
      <c r="Q18" s="23"/>
      <c r="R18" s="20">
        <f>Tableau1[[#This Row],[Cotisation de base TTC]]/Tableau1[[#This Row],[Superficie]]</f>
        <v>0.73122799999999999</v>
      </c>
      <c r="S18" s="29">
        <v>1142.8</v>
      </c>
      <c r="T18" s="20">
        <v>1952.26</v>
      </c>
      <c r="U18" s="30">
        <f>(Tableau1[[#This Row],[2023]]-Tableau1[[#This Row],[Cotisation de base TTC]])/Tableau1[[#This Row],[Cotisation de base TTC]]</f>
        <v>6.7935035310464076E-2</v>
      </c>
      <c r="V18" s="20">
        <f>Tableau1[[#This Row],[2023]]/Tableau1[[#This Row],[Superficie]]</f>
        <v>0.78090400000000004</v>
      </c>
      <c r="W18" s="40">
        <v>1153.7</v>
      </c>
      <c r="X18" s="36">
        <v>1976.72</v>
      </c>
      <c r="Y18" s="36">
        <f>Tableau1[[#This Row],[2024]]/Tableau1[[#This Row],[Superficie]]</f>
        <v>0.79068800000000006</v>
      </c>
      <c r="Z18" s="42">
        <f>(Tableau1[[#This Row],[2024]]-Tableau1[[#This Row],[2023]])/Tableau1[[#This Row],[2023]]</f>
        <v>1.2529068874022945E-2</v>
      </c>
      <c r="AA18" s="42">
        <f>(Tableau1[[#This Row],[2024]]-Tableau1[[#This Row],[Cotisation de base TTC]])/Tableau1[[#This Row],[Cotisation de base TTC]]</f>
        <v>8.1315266920851004E-2</v>
      </c>
      <c r="AB18" s="40">
        <v>1174.5999999999999</v>
      </c>
      <c r="AC18" s="36">
        <v>2220.38</v>
      </c>
      <c r="AD18" s="36">
        <f>Tableau1[[#This Row],[2025]]/Tableau1[[#This Row],[Superficie]]</f>
        <v>0.88815200000000005</v>
      </c>
      <c r="AE18" s="42">
        <f>(Tableau1[[#This Row],[2025]]-Tableau1[[#This Row],[2024]])/Tableau1[[#This Row],[2024]]</f>
        <v>0.12326480229875758</v>
      </c>
      <c r="AF18" s="42">
        <f>(Tableau1[[#This Row],[2025]]-Tableau1[[#This Row],[Cotisation de base TTC]])/Tableau1[[#This Row],[Cotisation de base TTC]]</f>
        <v>0.21460337952047798</v>
      </c>
      <c r="AG18" s="36"/>
      <c r="AH18" s="36"/>
      <c r="AI18" s="40">
        <v>1183.5</v>
      </c>
      <c r="AJ18" s="36">
        <v>2357.54</v>
      </c>
      <c r="AK18" s="36">
        <f>AJ18/Tableau1[[#This Row],[Superficie]]</f>
        <v>0.94301599999999997</v>
      </c>
      <c r="AL18" s="42">
        <f>(AJ18-Tableau1[[#This Row],[2025]])/Tableau1[[#This Row],[Cotisation de base TTC]]</f>
        <v>7.5029949618997005E-2</v>
      </c>
      <c r="AM18" s="42">
        <f>(AJ18-Tableau1[[#This Row],[Cotisation de base TTC]])/Tableau1[[#This Row],[Cotisation de base TTC]]</f>
        <v>0.28963332913947498</v>
      </c>
      <c r="AN18" s="36"/>
      <c r="AO18" s="36"/>
    </row>
    <row r="19" spans="1:41" s="4" customFormat="1" ht="20.100000000000001" customHeight="1" x14ac:dyDescent="0.25">
      <c r="A19" s="14" t="s">
        <v>54</v>
      </c>
      <c r="B19" s="15" t="s">
        <v>55</v>
      </c>
      <c r="C19" s="14" t="s">
        <v>56</v>
      </c>
      <c r="D19" s="14" t="s">
        <v>4</v>
      </c>
      <c r="E19" s="62">
        <v>17</v>
      </c>
      <c r="F19" s="5" t="s">
        <v>83</v>
      </c>
      <c r="G19" s="5" t="s">
        <v>20</v>
      </c>
      <c r="H19" s="5" t="s">
        <v>85</v>
      </c>
      <c r="I19" s="5" t="s">
        <v>113</v>
      </c>
      <c r="J19" s="66">
        <v>2412</v>
      </c>
      <c r="K19" s="5" t="s">
        <v>98</v>
      </c>
      <c r="L19" s="20">
        <v>1640.93</v>
      </c>
      <c r="M19" s="20">
        <f>Tableau1[[#This Row],[Cotisation de base TTC]]/Tableau1[[#This Row],[Superficie]]</f>
        <v>0.68031923714759535</v>
      </c>
      <c r="N19" s="20"/>
      <c r="O19" s="20"/>
      <c r="P19" s="26">
        <v>986.91</v>
      </c>
      <c r="Q19" s="23"/>
      <c r="R19" s="20">
        <f>Tableau1[[#This Row],[Cotisation de base TTC]]/Tableau1[[#This Row],[Superficie]]</f>
        <v>0.68031923714759535</v>
      </c>
      <c r="S19" s="29">
        <v>1142.8</v>
      </c>
      <c r="T19" s="20">
        <v>1753.72</v>
      </c>
      <c r="U19" s="30">
        <f>(Tableau1[[#This Row],[2023]]-Tableau1[[#This Row],[Cotisation de base TTC]])/Tableau1[[#This Row],[Cotisation de base TTC]]</f>
        <v>6.8735412235744336E-2</v>
      </c>
      <c r="V19" s="20">
        <f>Tableau1[[#This Row],[2023]]/Tableau1[[#This Row],[Superficie]]</f>
        <v>0.72708126036484244</v>
      </c>
      <c r="W19" s="40">
        <v>1153.7</v>
      </c>
      <c r="X19" s="36">
        <v>1769.4</v>
      </c>
      <c r="Y19" s="36">
        <f>Tableau1[[#This Row],[2024]]/Tableau1[[#This Row],[Superficie]]</f>
        <v>0.7335820895522388</v>
      </c>
      <c r="Z19" s="42">
        <f>(Tableau1[[#This Row],[2024]]-Tableau1[[#This Row],[2023]])/Tableau1[[#This Row],[2023]]</f>
        <v>8.940994001322939E-3</v>
      </c>
      <c r="AA19" s="42">
        <f>(Tableau1[[#This Row],[2024]]-Tableau1[[#This Row],[Cotisation de base TTC]])/Tableau1[[#This Row],[Cotisation de base TTC]]</f>
        <v>7.8290969145545522E-2</v>
      </c>
      <c r="AB19" s="40">
        <v>1174.5999999999999</v>
      </c>
      <c r="AC19" s="36">
        <v>1993.77</v>
      </c>
      <c r="AD19" s="36">
        <f>Tableau1[[#This Row],[2025]]/Tableau1[[#This Row],[Superficie]]</f>
        <v>0.82660447761194034</v>
      </c>
      <c r="AE19" s="42">
        <f>(Tableau1[[#This Row],[2025]]-Tableau1[[#This Row],[2024]])/Tableau1[[#This Row],[2024]]</f>
        <v>0.12680569684638854</v>
      </c>
      <c r="AF19" s="42">
        <f>(Tableau1[[#This Row],[2025]]-Tableau1[[#This Row],[Cotisation de base TTC]])/Tableau1[[#This Row],[Cotisation de base TTC]]</f>
        <v>0.21502440689121408</v>
      </c>
      <c r="AG19" s="36">
        <v>1857.62</v>
      </c>
      <c r="AH19" s="36">
        <f>Tableau1[[#This Row],[Prix négocié  
2025
Avenant]]/Tableau1[[#This Row],[Superficie]]</f>
        <v>0.7701575456053068</v>
      </c>
      <c r="AI19" s="40">
        <v>1183.5</v>
      </c>
      <c r="AJ19" s="36">
        <v>1971.63</v>
      </c>
      <c r="AK19" s="36">
        <f>AJ19/Tableau1[[#This Row],[Superficie]]</f>
        <v>0.81742537313432839</v>
      </c>
      <c r="AL19" s="42">
        <f>(AJ19-Tableau1[[#This Row],[2025]])/Tableau1[[#This Row],[Cotisation de base TTC]]</f>
        <v>-1.3492348850956392E-2</v>
      </c>
      <c r="AM19" s="42">
        <f>(AJ19-Tableau1[[#This Row],[Cotisation de base TTC]])/Tableau1[[#This Row],[Cotisation de base TTC]]</f>
        <v>0.20153205804025767</v>
      </c>
      <c r="AN19" s="36"/>
      <c r="AO19" s="36"/>
    </row>
    <row r="20" spans="1:41" s="13" customFormat="1" ht="20.100000000000001" customHeight="1" x14ac:dyDescent="0.25">
      <c r="A20" s="14" t="s">
        <v>57</v>
      </c>
      <c r="B20" s="16" t="s">
        <v>58</v>
      </c>
      <c r="C20" s="14" t="s">
        <v>21</v>
      </c>
      <c r="D20" s="14" t="s">
        <v>5</v>
      </c>
      <c r="E20" s="62">
        <v>14</v>
      </c>
      <c r="F20" s="5" t="s">
        <v>83</v>
      </c>
      <c r="G20" s="5" t="s">
        <v>20</v>
      </c>
      <c r="H20" s="5" t="s">
        <v>85</v>
      </c>
      <c r="I20" s="5" t="s">
        <v>114</v>
      </c>
      <c r="J20" s="68">
        <v>1580</v>
      </c>
      <c r="K20" s="5" t="s">
        <v>98</v>
      </c>
      <c r="L20" s="27">
        <v>1035.56</v>
      </c>
      <c r="M20" s="27">
        <f>Tableau1[[#This Row],[Cotisation de base TTC]]/Tableau1[[#This Row],[Superficie]]</f>
        <v>0.65541772151898736</v>
      </c>
      <c r="N20" s="21"/>
      <c r="O20" s="21"/>
      <c r="P20" s="26">
        <v>631.96</v>
      </c>
      <c r="Q20" s="23"/>
      <c r="R20" s="27">
        <f>Tableau1[[#This Row],[Cotisation de base TTC]]/Tableau1[[#This Row],[Superficie]]</f>
        <v>0.65541772151898736</v>
      </c>
      <c r="S20" s="29">
        <v>1142.8</v>
      </c>
      <c r="T20" s="27">
        <v>1105.02</v>
      </c>
      <c r="U20" s="30">
        <f>(Tableau1[[#This Row],[2023]]-Tableau1[[#This Row],[Cotisation de base TTC]])/Tableau1[[#This Row],[Cotisation de base TTC]]</f>
        <v>6.7074819421375914E-2</v>
      </c>
      <c r="V20" s="20">
        <f>Tableau1[[#This Row],[2023]]/Tableau1[[#This Row],[Superficie]]</f>
        <v>0.69937974683544302</v>
      </c>
      <c r="W20" s="40">
        <v>1153.7</v>
      </c>
      <c r="X20" s="36">
        <v>1579.4</v>
      </c>
      <c r="Y20" s="36">
        <f>Tableau1[[#This Row],[2024]]/Tableau1[[#This Row],[Superficie]]</f>
        <v>0.99962025316455705</v>
      </c>
      <c r="Z20" s="83">
        <f>(Tableau1[[#This Row],[2024]]-Tableau1[[#This Row],[2023]])/Tableau1[[#This Row],[2023]]</f>
        <v>0.42929539736837352</v>
      </c>
      <c r="AA20" s="83">
        <f>(Tableau1[[#This Row],[2024]]-Tableau1[[#This Row],[Cotisation de base TTC]])/Tableau1[[#This Row],[Cotisation de base TTC]]</f>
        <v>0.52516512804666093</v>
      </c>
      <c r="AB20" s="40">
        <v>1174.5999999999999</v>
      </c>
      <c r="AC20" s="36">
        <v>1786.1</v>
      </c>
      <c r="AD20" s="36">
        <f>Tableau1[[#This Row],[2025]]/Tableau1[[#This Row],[Superficie]]</f>
        <v>1.1304430379746835</v>
      </c>
      <c r="AE20" s="42">
        <f>(Tableau1[[#This Row],[2025]]-Tableau1[[#This Row],[2024]])/Tableau1[[#This Row],[2024]]</f>
        <v>0.13087248322147638</v>
      </c>
      <c r="AF20" s="112">
        <f>(Tableau1[[#This Row],[2025]]-Tableau1[[#This Row],[Cotisation de base TTC]])/Tableau1[[#This Row],[Cotisation de base TTC]]</f>
        <v>0.72476727567692845</v>
      </c>
      <c r="AG20" s="36"/>
      <c r="AH20" s="117"/>
      <c r="AI20" s="40">
        <v>1183.5</v>
      </c>
      <c r="AJ20" s="36">
        <v>1895.62</v>
      </c>
      <c r="AK20" s="36">
        <f>AJ20/Tableau1[[#This Row],[Superficie]]</f>
        <v>1.199759493670886</v>
      </c>
      <c r="AL20" s="42">
        <f>(AJ20-Tableau1[[#This Row],[2025]])/Tableau1[[#This Row],[Cotisation de base TTC]]</f>
        <v>0.10575920275020277</v>
      </c>
      <c r="AM20" s="42">
        <f>(AJ20-Tableau1[[#This Row],[Cotisation de base TTC]])/Tableau1[[#This Row],[Cotisation de base TTC]]</f>
        <v>0.83052647842713123</v>
      </c>
      <c r="AN20" s="36"/>
      <c r="AO20" s="117"/>
    </row>
    <row r="21" spans="1:41" s="4" customFormat="1" ht="20.100000000000001" customHeight="1" x14ac:dyDescent="0.25">
      <c r="A21" s="14" t="s">
        <v>59</v>
      </c>
      <c r="B21" s="15" t="s">
        <v>60</v>
      </c>
      <c r="C21" s="14" t="s">
        <v>22</v>
      </c>
      <c r="D21" s="14" t="s">
        <v>6</v>
      </c>
      <c r="E21" s="62">
        <v>20</v>
      </c>
      <c r="F21" s="5" t="s">
        <v>83</v>
      </c>
      <c r="G21" s="5" t="s">
        <v>116</v>
      </c>
      <c r="H21" s="5" t="s">
        <v>85</v>
      </c>
      <c r="I21" s="5" t="s">
        <v>115</v>
      </c>
      <c r="J21" s="66">
        <v>2150</v>
      </c>
      <c r="K21" s="5" t="s">
        <v>98</v>
      </c>
      <c r="L21" s="20">
        <v>1409.18</v>
      </c>
      <c r="M21" s="20">
        <f>Tableau1[[#This Row],[Cotisation de base TTC]]/Tableau1[[#This Row],[Superficie]]</f>
        <v>0.65543255813953494</v>
      </c>
      <c r="N21" s="20"/>
      <c r="O21" s="20"/>
      <c r="P21" s="26">
        <v>799.28</v>
      </c>
      <c r="Q21" s="23"/>
      <c r="R21" s="20">
        <f>Tableau1[[#This Row],[Cotisation de base TTC]]/Tableau1[[#This Row],[Superficie]]</f>
        <v>0.65543255813953494</v>
      </c>
      <c r="S21" s="29">
        <v>1142.8</v>
      </c>
      <c r="T21" s="20">
        <v>1505.41</v>
      </c>
      <c r="U21" s="30">
        <f>(Tableau1[[#This Row],[2023]]-Tableau1[[#This Row],[Cotisation de base TTC]])/Tableau1[[#This Row],[Cotisation de base TTC]]</f>
        <v>6.8287940504406827E-2</v>
      </c>
      <c r="V21" s="20">
        <f>Tableau1[[#This Row],[2023]]/Tableau1[[#This Row],[Superficie]]</f>
        <v>0.70019069767441866</v>
      </c>
      <c r="W21" s="40">
        <v>1153.7</v>
      </c>
      <c r="X21" s="36">
        <v>1509.86</v>
      </c>
      <c r="Y21" s="36">
        <f>Tableau1[[#This Row],[2024]]/Tableau1[[#This Row],[Superficie]]</f>
        <v>0.70226046511627904</v>
      </c>
      <c r="Z21" s="42">
        <f>(Tableau1[[#This Row],[2024]]-Tableau1[[#This Row],[2023]])/Tableau1[[#This Row],[2023]]</f>
        <v>2.9560053407376181E-3</v>
      </c>
      <c r="AA21" s="42">
        <f>(Tableau1[[#This Row],[2024]]-Tableau1[[#This Row],[Cotisation de base TTC]])/Tableau1[[#This Row],[Cotisation de base TTC]]</f>
        <v>7.1445805361983444E-2</v>
      </c>
      <c r="AB21" s="40">
        <v>1174.5999999999999</v>
      </c>
      <c r="AC21" s="36">
        <v>1710.19</v>
      </c>
      <c r="AD21" s="36">
        <f>Tableau1[[#This Row],[2025]]/Tableau1[[#This Row],[Superficie]]</f>
        <v>0.79543720930232564</v>
      </c>
      <c r="AE21" s="42">
        <f>(Tableau1[[#This Row],[2025]]-Tableau1[[#This Row],[2024]])/Tableau1[[#This Row],[2024]]</f>
        <v>0.13268117573814803</v>
      </c>
      <c r="AF21" s="42">
        <f>(Tableau1[[#This Row],[2025]]-Tableau1[[#This Row],[Cotisation de base TTC]])/Tableau1[[#This Row],[Cotisation de base TTC]]</f>
        <v>0.2136064945571183</v>
      </c>
      <c r="AG21" s="36">
        <v>1585.48</v>
      </c>
      <c r="AH21" s="36">
        <f>Tableau1[[#This Row],[Prix négocié  
2025
Avenant]]/Tableau1[[#This Row],[Superficie]]</f>
        <v>0.7374325581395349</v>
      </c>
      <c r="AI21" s="40">
        <v>1183.5</v>
      </c>
      <c r="AJ21" s="36">
        <v>1682.12</v>
      </c>
      <c r="AK21" s="36">
        <f>AJ21/Tableau1[[#This Row],[Superficie]]</f>
        <v>0.78238139534883711</v>
      </c>
      <c r="AL21" s="42">
        <f>(AJ21-Tableau1[[#This Row],[Prix négocié  
2025
Avenant]])/Tableau1[[#This Row],[Cotisation de base TTC]]</f>
        <v>6.8578889850835142E-2</v>
      </c>
      <c r="AM21" s="42">
        <f>(AJ21-Tableau1[[#This Row],[Cotisation de base TTC]])/Tableau1[[#This Row],[Cotisation de base TTC]]</f>
        <v>0.19368710881505544</v>
      </c>
      <c r="AN21" s="36"/>
      <c r="AO21" s="36"/>
    </row>
    <row r="22" spans="1:41" s="4" customFormat="1" ht="20.100000000000001" customHeight="1" x14ac:dyDescent="0.25">
      <c r="A22" s="14" t="s">
        <v>61</v>
      </c>
      <c r="B22" s="16" t="s">
        <v>172</v>
      </c>
      <c r="C22" s="14" t="s">
        <v>62</v>
      </c>
      <c r="D22" s="14" t="s">
        <v>7</v>
      </c>
      <c r="E22" s="62">
        <v>6</v>
      </c>
      <c r="F22" s="5" t="s">
        <v>83</v>
      </c>
      <c r="G22" s="5" t="s">
        <v>23</v>
      </c>
      <c r="H22" s="5" t="s">
        <v>85</v>
      </c>
      <c r="I22" s="5" t="s">
        <v>117</v>
      </c>
      <c r="J22" s="66">
        <v>750</v>
      </c>
      <c r="K22" s="5" t="s">
        <v>118</v>
      </c>
      <c r="L22" s="20">
        <v>825.97</v>
      </c>
      <c r="M22" s="20">
        <f>Tableau1[[#This Row],[Cotisation de base TTC]]/Tableau1[[#This Row],[Superficie]]</f>
        <v>1.1012933333333335</v>
      </c>
      <c r="N22" s="20"/>
      <c r="O22" s="20"/>
      <c r="P22" s="26">
        <v>381.08</v>
      </c>
      <c r="Q22" s="23"/>
      <c r="R22" s="20">
        <f>Tableau1[[#This Row],[Cotisation de base TTC]]/Tableau1[[#This Row],[Superficie]]</f>
        <v>1.1012933333333335</v>
      </c>
      <c r="S22" s="29">
        <v>1142.8</v>
      </c>
      <c r="T22" s="20">
        <v>854.82</v>
      </c>
      <c r="U22" s="30">
        <f>(Tableau1[[#This Row],[2023]]-Tableau1[[#This Row],[Cotisation de base TTC]])/Tableau1[[#This Row],[Cotisation de base TTC]]</f>
        <v>3.4928629369105443E-2</v>
      </c>
      <c r="V22" s="20">
        <f>Tableau1[[#This Row],[2023]]/Tableau1[[#This Row],[Superficie]]</f>
        <v>1.1397600000000001</v>
      </c>
      <c r="W22" s="40">
        <v>1153.7</v>
      </c>
      <c r="X22" s="36">
        <v>830.07</v>
      </c>
      <c r="Y22" s="36">
        <f>Tableau1[[#This Row],[2024]]/Tableau1[[#This Row],[Superficie]]</f>
        <v>1.10676</v>
      </c>
      <c r="Z22" s="42">
        <f>(Tableau1[[#This Row],[2024]]-Tableau1[[#This Row],[2023]])/Tableau1[[#This Row],[2023]]</f>
        <v>-2.8953463887134132E-2</v>
      </c>
      <c r="AA22" s="42">
        <f>(Tableau1[[#This Row],[2024]]-Tableau1[[#This Row],[Cotisation de base TTC]])/Tableau1[[#This Row],[Cotisation de base TTC]]</f>
        <v>4.9638606729058227E-3</v>
      </c>
      <c r="AB22" s="40">
        <v>1174.5999999999999</v>
      </c>
      <c r="AC22" s="36">
        <v>980.82</v>
      </c>
      <c r="AD22" s="36">
        <f>Tableau1[[#This Row],[2025]]/Tableau1[[#This Row],[Superficie]]</f>
        <v>1.30776</v>
      </c>
      <c r="AE22" s="42">
        <f>(Tableau1[[#This Row],[2025]]-Tableau1[[#This Row],[2024]])/Tableau1[[#This Row],[2024]]</f>
        <v>0.18161118941775994</v>
      </c>
      <c r="AF22" s="42">
        <f>(Tableau1[[#This Row],[2025]]-Tableau1[[#This Row],[Cotisation de base TTC]])/Tableau1[[#This Row],[Cotisation de base TTC]]</f>
        <v>0.18747654273157624</v>
      </c>
      <c r="AG22" s="36"/>
      <c r="AH22" s="36"/>
      <c r="AI22" s="40">
        <v>1183.5</v>
      </c>
      <c r="AJ22" s="36">
        <v>1038.97</v>
      </c>
      <c r="AK22" s="36">
        <f>AJ22/Tableau1[[#This Row],[Superficie]]</f>
        <v>1.3852933333333333</v>
      </c>
      <c r="AL22" s="42">
        <f>(AJ22-Tableau1[[#This Row],[2025]])/Tableau1[[#This Row],[Cotisation de base TTC]]</f>
        <v>7.040207271450534E-2</v>
      </c>
      <c r="AM22" s="42">
        <f>(AJ22-Tableau1[[#This Row],[Cotisation de base TTC]])/Tableau1[[#This Row],[Cotisation de base TTC]]</f>
        <v>0.25787861544608159</v>
      </c>
      <c r="AN22" s="36"/>
      <c r="AO22" s="36"/>
    </row>
    <row r="23" spans="1:41" s="4" customFormat="1" ht="20.100000000000001" customHeight="1" x14ac:dyDescent="0.25">
      <c r="A23" s="14" t="s">
        <v>63</v>
      </c>
      <c r="B23" s="15" t="s">
        <v>64</v>
      </c>
      <c r="C23" s="14" t="s">
        <v>65</v>
      </c>
      <c r="D23" s="14" t="s">
        <v>74</v>
      </c>
      <c r="E23" s="62">
        <v>15</v>
      </c>
      <c r="F23" s="5" t="s">
        <v>83</v>
      </c>
      <c r="G23" s="5" t="s">
        <v>24</v>
      </c>
      <c r="H23" s="5" t="s">
        <v>85</v>
      </c>
      <c r="I23" s="5" t="s">
        <v>119</v>
      </c>
      <c r="J23" s="66">
        <v>1485</v>
      </c>
      <c r="K23" s="5" t="s">
        <v>118</v>
      </c>
      <c r="L23" s="20">
        <v>1167.9100000000001</v>
      </c>
      <c r="M23" s="20">
        <f>Tableau1[[#This Row],[Cotisation de base TTC]]/Tableau1[[#This Row],[Superficie]]</f>
        <v>0.78647138047138054</v>
      </c>
      <c r="N23" s="20"/>
      <c r="O23" s="20"/>
      <c r="P23" s="26">
        <v>430.28</v>
      </c>
      <c r="Q23" s="23"/>
      <c r="R23" s="20">
        <f>Tableau1[[#This Row],[Cotisation de base TTC]]/Tableau1[[#This Row],[Superficie]]</f>
        <v>0.78647138047138054</v>
      </c>
      <c r="S23" s="29">
        <v>1142.8</v>
      </c>
      <c r="T23" s="20">
        <v>1209.49</v>
      </c>
      <c r="U23" s="30">
        <f>(Tableau1[[#This Row],[2023]]-Tableau1[[#This Row],[Cotisation de base TTC]])/Tableau1[[#This Row],[Cotisation de base TTC]]</f>
        <v>3.5602058377785892E-2</v>
      </c>
      <c r="V23" s="20">
        <f>Tableau1[[#This Row],[2023]]/Tableau1[[#This Row],[Superficie]]</f>
        <v>0.81447138047138046</v>
      </c>
      <c r="W23" s="40">
        <v>1153.7</v>
      </c>
      <c r="X23" s="36">
        <v>1200.79</v>
      </c>
      <c r="Y23" s="36">
        <f>Tableau1[[#This Row],[2024]]/Tableau1[[#This Row],[Superficie]]</f>
        <v>0.80861279461279456</v>
      </c>
      <c r="Z23" s="42">
        <f>(Tableau1[[#This Row],[2024]]-Tableau1[[#This Row],[2023]])/Tableau1[[#This Row],[2023]]</f>
        <v>-7.1931144531993197E-3</v>
      </c>
      <c r="AA23" s="42">
        <f>(Tableau1[[#This Row],[2024]]-Tableau1[[#This Row],[Cotisation de base TTC]])/Tableau1[[#This Row],[Cotisation de base TTC]]</f>
        <v>2.8152854243905678E-2</v>
      </c>
      <c r="AB23" s="40">
        <v>1174.5999999999999</v>
      </c>
      <c r="AC23" s="36">
        <v>1372.31</v>
      </c>
      <c r="AD23" s="36">
        <f>Tableau1[[#This Row],[2025]]/Tableau1[[#This Row],[Superficie]]</f>
        <v>0.92411447811447811</v>
      </c>
      <c r="AE23" s="42">
        <f>(Tableau1[[#This Row],[2025]]-Tableau1[[#This Row],[2024]])/Tableau1[[#This Row],[2024]]</f>
        <v>0.14283929746250384</v>
      </c>
      <c r="AF23" s="42">
        <f>(Tableau1[[#This Row],[2025]]-Tableau1[[#This Row],[Cotisation de base TTC]])/Tableau1[[#This Row],[Cotisation de base TTC]]</f>
        <v>0.17501348562817329</v>
      </c>
      <c r="AG23" s="118"/>
      <c r="AH23" s="36"/>
      <c r="AI23" s="40">
        <v>1183.5</v>
      </c>
      <c r="AJ23" s="36">
        <v>1455.42</v>
      </c>
      <c r="AK23" s="36">
        <f>AJ23/Tableau1[[#This Row],[Superficie]]</f>
        <v>0.98008080808080811</v>
      </c>
      <c r="AL23" s="42">
        <f>(AJ23-Tableau1[[#This Row],[2025]])/Tableau1[[#This Row],[Cotisation de base TTC]]</f>
        <v>7.1161305237561215E-2</v>
      </c>
      <c r="AM23" s="42">
        <f>(AJ23-Tableau1[[#This Row],[Cotisation de base TTC]])/Tableau1[[#This Row],[Cotisation de base TTC]]</f>
        <v>0.24617479086573449</v>
      </c>
      <c r="AN23" s="118"/>
      <c r="AO23" s="36"/>
    </row>
    <row r="24" spans="1:41" s="4" customFormat="1" ht="20.100000000000001" customHeight="1" x14ac:dyDescent="0.25">
      <c r="A24" s="14" t="s">
        <v>66</v>
      </c>
      <c r="B24" s="15" t="s">
        <v>67</v>
      </c>
      <c r="C24" s="15" t="s">
        <v>68</v>
      </c>
      <c r="D24" s="14" t="s">
        <v>25</v>
      </c>
      <c r="E24" s="62">
        <v>4</v>
      </c>
      <c r="F24" s="5" t="s">
        <v>83</v>
      </c>
      <c r="G24" s="11" t="s">
        <v>121</v>
      </c>
      <c r="H24" s="5" t="s">
        <v>85</v>
      </c>
      <c r="I24" s="5" t="s">
        <v>120</v>
      </c>
      <c r="J24" s="69">
        <v>490</v>
      </c>
      <c r="K24" s="5" t="s">
        <v>118</v>
      </c>
      <c r="L24" s="22">
        <v>546.99</v>
      </c>
      <c r="M24" s="22">
        <f>Tableau1[[#This Row],[Cotisation de base TTC]]/Tableau1[[#This Row],[Superficie]]</f>
        <v>1.1163061224489796</v>
      </c>
      <c r="N24" s="22"/>
      <c r="O24" s="22"/>
      <c r="P24" s="28">
        <v>204.1</v>
      </c>
      <c r="Q24" s="23"/>
      <c r="R24" s="22">
        <f>Tableau1[[#This Row],[Cotisation de base TTC]]/Tableau1[[#This Row],[Superficie]]</f>
        <v>1.1163061224489796</v>
      </c>
      <c r="S24" s="29">
        <v>1142.8</v>
      </c>
      <c r="T24" s="22">
        <v>565.17999999999995</v>
      </c>
      <c r="U24" s="30">
        <f>(Tableau1[[#This Row],[2023]]-Tableau1[[#This Row],[Cotisation de base TTC]])/Tableau1[[#This Row],[Cotisation de base TTC]]</f>
        <v>3.3254721292893731E-2</v>
      </c>
      <c r="V24" s="22">
        <f>Tableau1[[#This Row],[2023]]/Tableau1[[#This Row],[Superficie]]</f>
        <v>1.1534285714285712</v>
      </c>
      <c r="W24" s="41">
        <v>1153.7</v>
      </c>
      <c r="X24" s="37">
        <v>527.53</v>
      </c>
      <c r="Y24" s="37">
        <f>Tableau1[[#This Row],[2024]]/Tableau1[[#This Row],[Superficie]]</f>
        <v>1.0765918367346938</v>
      </c>
      <c r="Z24" s="42">
        <f>(Tableau1[[#This Row],[2024]]-Tableau1[[#This Row],[2023]])/Tableau1[[#This Row],[2023]]</f>
        <v>-6.6615945362539328E-2</v>
      </c>
      <c r="AA24" s="43">
        <f>(Tableau1[[#This Row],[2024]]-Tableau1[[#This Row],[Cotisation de base TTC]])/Tableau1[[#This Row],[Cotisation de base TTC]]</f>
        <v>-3.5576518766339486E-2</v>
      </c>
      <c r="AB24" s="40">
        <v>1174.5999999999999</v>
      </c>
      <c r="AC24" s="37">
        <v>645.13</v>
      </c>
      <c r="AD24" s="37">
        <f>Tableau1[[#This Row],[2025]]/Tableau1[[#This Row],[Superficie]]</f>
        <v>1.3165918367346938</v>
      </c>
      <c r="AE24" s="113">
        <f>(Tableau1[[#This Row],[2025]]-Tableau1[[#This Row],[2024]])/Tableau1[[#This Row],[2024]]</f>
        <v>0.22292571038613923</v>
      </c>
      <c r="AF24" s="43">
        <f>(Tableau1[[#This Row],[2025]]-Tableau1[[#This Row],[Cotisation de base TTC]])/Tableau1[[#This Row],[Cotisation de base TTC]]</f>
        <v>0.17941827090074769</v>
      </c>
      <c r="AG24" s="119"/>
      <c r="AH24" s="37"/>
      <c r="AI24" s="40">
        <v>1183.5</v>
      </c>
      <c r="AJ24" s="37">
        <v>681.89</v>
      </c>
      <c r="AK24" s="36">
        <f>AJ24/Tableau1[[#This Row],[Superficie]]</f>
        <v>1.3916122448979591</v>
      </c>
      <c r="AL24" s="42">
        <f>(AJ24-Tableau1[[#This Row],[2025]])/Tableau1[[#This Row],[Cotisation de base TTC]]</f>
        <v>6.720415364083436E-2</v>
      </c>
      <c r="AM24" s="42">
        <f>(AJ24-Tableau1[[#This Row],[Cotisation de base TTC]])/Tableau1[[#This Row],[Cotisation de base TTC]]</f>
        <v>0.24662242454158206</v>
      </c>
      <c r="AN24" s="119"/>
      <c r="AO24" s="37"/>
    </row>
    <row r="25" spans="1:41" ht="18" x14ac:dyDescent="0.2">
      <c r="A25" s="14" t="s">
        <v>69</v>
      </c>
      <c r="B25" s="15" t="s">
        <v>70</v>
      </c>
      <c r="C25" s="14" t="s">
        <v>75</v>
      </c>
      <c r="D25" s="14" t="s">
        <v>27</v>
      </c>
      <c r="E25" s="62">
        <v>20</v>
      </c>
      <c r="F25" s="5" t="s">
        <v>83</v>
      </c>
      <c r="G25" s="5" t="s">
        <v>26</v>
      </c>
      <c r="H25" s="5" t="s">
        <v>85</v>
      </c>
      <c r="I25" s="5" t="s">
        <v>122</v>
      </c>
      <c r="J25" s="66">
        <v>2400</v>
      </c>
      <c r="K25" s="5" t="s">
        <v>123</v>
      </c>
      <c r="L25" s="20">
        <v>1741.6</v>
      </c>
      <c r="M25" s="20">
        <f>Tableau1[[#This Row],[Cotisation de base TTC]]/Tableau1[[#This Row],[Superficie]]</f>
        <v>0.72566666666666668</v>
      </c>
      <c r="N25" s="20"/>
      <c r="O25" s="20"/>
      <c r="P25" s="26">
        <v>483.86</v>
      </c>
      <c r="Q25" s="23"/>
      <c r="R25" s="20">
        <f>Tableau1[[#This Row],[Cotisation de base TTC]]/Tableau1[[#This Row],[Superficie]]</f>
        <v>0.72566666666666668</v>
      </c>
      <c r="S25" s="29">
        <v>1142.8</v>
      </c>
      <c r="T25" s="20">
        <v>1752.35</v>
      </c>
      <c r="U25" s="30">
        <f>(Tableau1[[#This Row],[2023]]-Tableau1[[#This Row],[Cotisation de base TTC]])/Tableau1[[#This Row],[Cotisation de base TTC]]</f>
        <v>6.1724850711988976E-3</v>
      </c>
      <c r="V25" s="20">
        <f>Tableau1[[#This Row],[2023]]/Tableau1[[#This Row],[Superficie]]</f>
        <v>0.73014583333333327</v>
      </c>
      <c r="W25" s="40">
        <v>1153.7</v>
      </c>
      <c r="X25" s="36">
        <v>1767.9</v>
      </c>
      <c r="Y25" s="36">
        <f>Tableau1[[#This Row],[2024]]/Tableau1[[#This Row],[Superficie]]</f>
        <v>0.73662500000000009</v>
      </c>
      <c r="Z25" s="42">
        <f>(Tableau1[[#This Row],[2024]]-Tableau1[[#This Row],[2023]])/Tableau1[[#This Row],[2023]]</f>
        <v>8.8737980426285747E-3</v>
      </c>
      <c r="AA25" s="42">
        <f>(Tableau1[[#This Row],[2024]]-Tableau1[[#This Row],[Cotisation de base TTC]])/Tableau1[[#This Row],[Cotisation de base TTC]]</f>
        <v>1.5101056499770431E-2</v>
      </c>
      <c r="AB25" s="40">
        <v>1174.5999999999999</v>
      </c>
      <c r="AC25" s="36">
        <v>1992.18</v>
      </c>
      <c r="AD25" s="36">
        <f>Tableau1[[#This Row],[2025]]/Tableau1[[#This Row],[Superficie]]</f>
        <v>0.83007500000000001</v>
      </c>
      <c r="AE25" s="42">
        <f>(Tableau1[[#This Row],[2025]]-Tableau1[[#This Row],[2024]])/Tableau1[[#This Row],[2024]]</f>
        <v>0.12686237909384013</v>
      </c>
      <c r="AF25" s="42">
        <f>(Tableau1[[#This Row],[2025]]-Tableau1[[#This Row],[Cotisation de base TTC]])/Tableau1[[#This Row],[Cotisation de base TTC]]</f>
        <v>0.14387919154800194</v>
      </c>
      <c r="AG25" s="36"/>
      <c r="AH25" s="36"/>
      <c r="AI25" s="40">
        <v>1183.5</v>
      </c>
      <c r="AJ25" s="36">
        <v>2114.79</v>
      </c>
      <c r="AK25" s="36">
        <f>AJ25/Tableau1[[#This Row],[Superficie]]</f>
        <v>0.88116249999999996</v>
      </c>
      <c r="AL25" s="42">
        <f>(AJ25-Tableau1[[#This Row],[2025]])/Tableau1[[#This Row],[Cotisation de base TTC]]</f>
        <v>7.0400780891134537E-2</v>
      </c>
      <c r="AM25" s="42">
        <f>(AJ25-Tableau1[[#This Row],[Cotisation de base TTC]])/Tableau1[[#This Row],[Cotisation de base TTC]]</f>
        <v>0.21427997243913646</v>
      </c>
      <c r="AN25" s="36"/>
      <c r="AO25" s="36"/>
    </row>
    <row r="26" spans="1:41" ht="47.25" x14ac:dyDescent="0.2">
      <c r="A26" s="17" t="s">
        <v>82</v>
      </c>
      <c r="B26" s="15" t="s">
        <v>129</v>
      </c>
      <c r="C26" s="14" t="s">
        <v>124</v>
      </c>
      <c r="D26" s="18" t="s">
        <v>4</v>
      </c>
      <c r="E26" s="62">
        <v>38</v>
      </c>
      <c r="F26" s="19" t="s">
        <v>125</v>
      </c>
      <c r="G26" s="5" t="s">
        <v>127</v>
      </c>
      <c r="H26" s="34" t="s">
        <v>165</v>
      </c>
      <c r="I26" s="5" t="s">
        <v>128</v>
      </c>
      <c r="J26" s="39">
        <v>4400</v>
      </c>
      <c r="K26" s="5" t="s">
        <v>126</v>
      </c>
      <c r="L26" s="20">
        <v>4003</v>
      </c>
      <c r="M26" s="20">
        <f>Tableau1[[#This Row],[Cotisation de base TTC]]/Tableau1[[#This Row],[Superficie]]</f>
        <v>0.90977272727272729</v>
      </c>
      <c r="N26" s="20">
        <v>2370</v>
      </c>
      <c r="O26" s="12">
        <v>1033.4000000000001</v>
      </c>
      <c r="P26" s="20">
        <v>2518</v>
      </c>
      <c r="Q26" s="23"/>
      <c r="R26" s="20">
        <f>Tableau1[[#This Row],[2022]]/Tableau1[[#This Row],[Superficie]]</f>
        <v>0.57227272727272727</v>
      </c>
      <c r="S26" s="29">
        <v>1135.5</v>
      </c>
      <c r="T26" s="31">
        <v>2644</v>
      </c>
      <c r="U26" s="30">
        <f>(Tableau1[[#This Row],[2023]]-Tableau1[[#This Row],[2022]])/Tableau1[[#This Row],[2022]]</f>
        <v>5.0039714058776809E-2</v>
      </c>
      <c r="V26" s="20">
        <f>Tableau1[[#This Row],[2023]]/Tableau1[[#This Row],[Superficie]]</f>
        <v>0.60090909090909095</v>
      </c>
      <c r="W26" s="40">
        <v>1163.5999999999999</v>
      </c>
      <c r="X26" s="36">
        <v>4206</v>
      </c>
      <c r="Y26" s="36">
        <f>Tableau1[[#This Row],[2024]]/Tableau1[[#This Row],[Superficie]]</f>
        <v>0.95590909090909093</v>
      </c>
      <c r="Z26" s="42"/>
      <c r="AA26" s="42">
        <f>(Tableau1[[#This Row],[2024]]-Tableau1[[#This Row],[Cotisation de base TTC]])/Tableau1[[#This Row],[Cotisation de base TTC]]</f>
        <v>5.0711966025480892E-2</v>
      </c>
      <c r="AB26" s="40">
        <v>1174.5999999999999</v>
      </c>
      <c r="AC26" s="36"/>
      <c r="AD26" s="36">
        <f>Tableau1[[#This Row],[2025]]/Tableau1[[#This Row],[Superficie]]</f>
        <v>0</v>
      </c>
      <c r="AE26" s="42">
        <f>(Tableau1[[#This Row],[2025]]-Tableau1[[#This Row],[2024]])/Tableau1[[#This Row],[2024]]</f>
        <v>-1</v>
      </c>
      <c r="AF26" s="42">
        <f>(Tableau1[[#This Row],[2025]]-Tableau1[[#This Row],[Cotisation de base TTC]])/Tableau1[[#This Row],[Cotisation de base TTC]]</f>
        <v>-1</v>
      </c>
      <c r="AG26" s="36"/>
      <c r="AH26" s="36"/>
      <c r="AI26" s="40">
        <v>1183.5</v>
      </c>
      <c r="AJ26" s="36"/>
      <c r="AK26" s="36">
        <f>AJ26/Tableau1[[#This Row],[Superficie]]</f>
        <v>0</v>
      </c>
      <c r="AL26" s="42">
        <f>(AJ26-Tableau1[[#This Row],[2025]])/Tableau1[[#This Row],[Cotisation de base TTC]]</f>
        <v>0</v>
      </c>
      <c r="AM26" s="42">
        <f>(AJ26-Tableau1[[#This Row],[Cotisation de base TTC]])/Tableau1[[#This Row],[Cotisation de base TTC]]</f>
        <v>-1</v>
      </c>
      <c r="AN26" s="36"/>
      <c r="AO26" s="36"/>
    </row>
    <row r="27" spans="1:41" ht="18" x14ac:dyDescent="0.2">
      <c r="A27" s="17" t="s">
        <v>79</v>
      </c>
      <c r="B27" s="15" t="s">
        <v>148</v>
      </c>
      <c r="C27" s="14" t="s">
        <v>146</v>
      </c>
      <c r="D27" s="14" t="s">
        <v>147</v>
      </c>
      <c r="E27" s="62">
        <v>10</v>
      </c>
      <c r="F27" s="19" t="s">
        <v>83</v>
      </c>
      <c r="G27" s="5" t="s">
        <v>141</v>
      </c>
      <c r="H27" s="5" t="s">
        <v>85</v>
      </c>
      <c r="I27" s="5" t="s">
        <v>149</v>
      </c>
      <c r="J27" s="66">
        <v>450</v>
      </c>
      <c r="K27" s="5" t="s">
        <v>136</v>
      </c>
      <c r="L27" s="20">
        <v>599.82000000000005</v>
      </c>
      <c r="M27" s="20">
        <f>Tableau1[[#This Row],[Cotisation de base TTC]]/Tableau1[[#This Row],[Superficie]]</f>
        <v>1.3329333333333335</v>
      </c>
      <c r="N27" s="20"/>
      <c r="O27" s="20"/>
      <c r="P27" s="20"/>
      <c r="Q27" s="32"/>
      <c r="R27" s="24"/>
      <c r="S27" s="5" t="s">
        <v>136</v>
      </c>
      <c r="T27" s="45">
        <v>491.83</v>
      </c>
      <c r="U27" s="30"/>
      <c r="V27" s="20"/>
      <c r="W27" s="40">
        <v>1153.7</v>
      </c>
      <c r="X27" s="36">
        <v>544.85</v>
      </c>
      <c r="Y27" s="36">
        <f>Tableau1[[#This Row],[2024]]/Tableau1[[#This Row],[Superficie]]</f>
        <v>1.2107777777777777</v>
      </c>
      <c r="Z27" s="42"/>
      <c r="AA27" s="42">
        <f>(Tableau1[[#This Row],[2024]]-Tableau1[[#This Row],[Cotisation de base TTC]])/Tableau1[[#This Row],[Cotisation de base TTC]]</f>
        <v>-9.1644159914641102E-2</v>
      </c>
      <c r="AB27" s="40">
        <v>1174.5999999999999</v>
      </c>
      <c r="AC27" s="36">
        <v>665.55</v>
      </c>
      <c r="AD27" s="36">
        <f>Tableau1[[#This Row],[2025]]/Tableau1[[#This Row],[Superficie]]</f>
        <v>1.4789999999999999</v>
      </c>
      <c r="AE27" s="112">
        <f>(Tableau1[[#This Row],[2025]]-Tableau1[[#This Row],[2024]])/Tableau1[[#This Row],[2024]]</f>
        <v>0.22152886115444603</v>
      </c>
      <c r="AF27" s="42">
        <f>(Tableau1[[#This Row],[2025]]-Tableau1[[#This Row],[Cotisation de base TTC]])/Tableau1[[#This Row],[Cotisation de base TTC]]</f>
        <v>0.10958287486245857</v>
      </c>
      <c r="AG27" s="36"/>
      <c r="AH27" s="36"/>
      <c r="AI27" s="40">
        <v>1183.5</v>
      </c>
      <c r="AJ27" s="36">
        <v>703.59</v>
      </c>
      <c r="AK27" s="36">
        <f>AJ27/Tableau1[[#This Row],[Superficie]]</f>
        <v>1.5635333333333334</v>
      </c>
      <c r="AL27" s="42">
        <f>(AJ27-Tableau1[[#This Row],[2025]])/Tableau1[[#This Row],[Cotisation de base TTC]]</f>
        <v>6.3419025707712434E-2</v>
      </c>
      <c r="AM27" s="42">
        <f>(AJ27-Tableau1[[#This Row],[Cotisation de base TTC]])/Tableau1[[#This Row],[Cotisation de base TTC]]</f>
        <v>0.17300190057017101</v>
      </c>
      <c r="AN27" s="36"/>
      <c r="AO27" s="36"/>
    </row>
    <row r="28" spans="1:41" ht="18" x14ac:dyDescent="0.2">
      <c r="A28" s="17" t="s">
        <v>137</v>
      </c>
      <c r="B28" s="15" t="s">
        <v>144</v>
      </c>
      <c r="C28" s="14" t="s">
        <v>145</v>
      </c>
      <c r="D28" s="14" t="s">
        <v>135</v>
      </c>
      <c r="E28" s="62">
        <v>9</v>
      </c>
      <c r="F28" s="19" t="s">
        <v>83</v>
      </c>
      <c r="G28" s="5" t="s">
        <v>141</v>
      </c>
      <c r="H28" s="5" t="s">
        <v>85</v>
      </c>
      <c r="I28" s="5" t="s">
        <v>143</v>
      </c>
      <c r="J28" s="66">
        <v>870</v>
      </c>
      <c r="K28" s="5" t="s">
        <v>136</v>
      </c>
      <c r="L28" s="20">
        <v>826.35</v>
      </c>
      <c r="M28" s="20">
        <f>Tableau1[[#This Row],[Cotisation de base TTC]]/Tableau1[[#This Row],[Superficie]]</f>
        <v>0.94982758620689656</v>
      </c>
      <c r="N28" s="20"/>
      <c r="O28" s="20"/>
      <c r="P28" s="20"/>
      <c r="Q28" s="32"/>
      <c r="R28" s="24"/>
      <c r="S28" s="5" t="s">
        <v>136</v>
      </c>
      <c r="T28" s="45">
        <v>673.09</v>
      </c>
      <c r="U28" s="30"/>
      <c r="V28" s="20"/>
      <c r="W28" s="40">
        <v>1153.7</v>
      </c>
      <c r="X28" s="36">
        <v>773.54</v>
      </c>
      <c r="Y28" s="36">
        <f>Tableau1[[#This Row],[2024]]/Tableau1[[#This Row],[Superficie]]</f>
        <v>0.88912643678160919</v>
      </c>
      <c r="Z28" s="42"/>
      <c r="AA28" s="42">
        <f>(Tableau1[[#This Row],[2024]]-Tableau1[[#This Row],[Cotisation de base TTC]])/Tableau1[[#This Row],[Cotisation de base TTC]]</f>
        <v>-6.3907545229019244E-2</v>
      </c>
      <c r="AB28" s="40">
        <v>1174.5999999999999</v>
      </c>
      <c r="AC28" s="36">
        <v>919.76</v>
      </c>
      <c r="AD28" s="36">
        <f>Tableau1[[#This Row],[2025]]/Tableau1[[#This Row],[Superficie]]</f>
        <v>1.0571954022988506</v>
      </c>
      <c r="AE28" s="42">
        <f>(Tableau1[[#This Row],[2025]]-Tableau1[[#This Row],[2024]])/Tableau1[[#This Row],[2024]]</f>
        <v>0.18902707035188876</v>
      </c>
      <c r="AF28" s="42">
        <f>(Tableau1[[#This Row],[2025]]-Tableau1[[#This Row],[Cotisation de base TTC]])/Tableau1[[#This Row],[Cotisation de base TTC]]</f>
        <v>0.11303926907484718</v>
      </c>
      <c r="AG28" s="36">
        <v>812.13</v>
      </c>
      <c r="AH28" s="36">
        <f>Tableau1[[#This Row],[Prix négocié  
2025
Avenant]]/Tableau1[[#This Row],[Superficie]]</f>
        <v>0.93348275862068963</v>
      </c>
      <c r="AI28" s="40">
        <v>1183.5</v>
      </c>
      <c r="AJ28" s="36">
        <v>859.51</v>
      </c>
      <c r="AK28" s="36">
        <f>AJ28/Tableau1[[#This Row],[Superficie]]</f>
        <v>0.98794252873563215</v>
      </c>
      <c r="AL28" s="42">
        <f>(AJ28-Tableau1[[#This Row],[Prix négocié  
2025
Avenant]])/Tableau1[[#This Row],[Cotisation de base TTC]]</f>
        <v>5.7336479699885028E-2</v>
      </c>
      <c r="AM28" s="42">
        <f>(AJ28-Tableau1[[#This Row],[Cotisation de base TTC]])/Tableau1[[#This Row],[Cotisation de base TTC]]</f>
        <v>4.0128274944030942E-2</v>
      </c>
      <c r="AN28" s="36"/>
      <c r="AO28" s="36"/>
    </row>
    <row r="29" spans="1:41" ht="18.75" customHeight="1" x14ac:dyDescent="0.2">
      <c r="A29" s="14" t="s">
        <v>138</v>
      </c>
      <c r="B29" s="15" t="s">
        <v>168</v>
      </c>
      <c r="C29" s="14" t="s">
        <v>139</v>
      </c>
      <c r="D29" s="14" t="s">
        <v>140</v>
      </c>
      <c r="E29" s="62">
        <v>2</v>
      </c>
      <c r="F29" s="5" t="s">
        <v>83</v>
      </c>
      <c r="G29" s="5" t="s">
        <v>141</v>
      </c>
      <c r="H29" s="5" t="s">
        <v>85</v>
      </c>
      <c r="I29" s="5" t="s">
        <v>142</v>
      </c>
      <c r="J29" s="66">
        <v>1800</v>
      </c>
      <c r="K29" s="5" t="s">
        <v>136</v>
      </c>
      <c r="L29" s="20">
        <v>2409.94</v>
      </c>
      <c r="M29" s="20">
        <f>Tableau1[[#This Row],[Cotisation de base TTC]]/Tableau1[[#This Row],[Superficie]]</f>
        <v>1.3388555555555557</v>
      </c>
      <c r="N29" s="20"/>
      <c r="O29" s="20"/>
      <c r="P29" s="20"/>
      <c r="Q29" s="32"/>
      <c r="R29" s="24"/>
      <c r="S29" s="5" t="s">
        <v>136</v>
      </c>
      <c r="T29" s="46">
        <v>1939.95</v>
      </c>
      <c r="U29" s="30"/>
      <c r="V29" s="20"/>
      <c r="W29" s="40">
        <v>1153.7</v>
      </c>
      <c r="X29" s="36">
        <v>2514.16</v>
      </c>
      <c r="Y29" s="36">
        <f>Tableau1[[#This Row],[2024]]/Tableau1[[#This Row],[Superficie]]</f>
        <v>1.3967555555555555</v>
      </c>
      <c r="Z29" s="42"/>
      <c r="AA29" s="83">
        <f>(Tableau1[[#This Row],[2024]]-Tableau1[[#This Row],[Cotisation de base TTC]])/Tableau1[[#This Row],[Cotisation de base TTC]]</f>
        <v>4.3245889939168523E-2</v>
      </c>
      <c r="AB29" s="40">
        <v>1174.5999999999999</v>
      </c>
      <c r="AC29" s="36">
        <v>2657.49</v>
      </c>
      <c r="AD29" s="36">
        <f>Tableau1[[#This Row],[2025]]/Tableau1[[#This Row],[Superficie]]</f>
        <v>1.4763833333333332</v>
      </c>
      <c r="AE29" s="42">
        <f>(Tableau1[[#This Row],[2025]]-Tableau1[[#This Row],[2024]])/Tableau1[[#This Row],[2024]]</f>
        <v>5.7009100455022728E-2</v>
      </c>
      <c r="AF29" s="42">
        <f>(Tableau1[[#This Row],[2025]]-Tableau1[[#This Row],[Cotisation de base TTC]])/Tableau1[[#This Row],[Cotisation de base TTC]]</f>
        <v>0.10272039967800016</v>
      </c>
      <c r="AG29" s="36">
        <v>2556.5300000000002</v>
      </c>
      <c r="AH29" s="36">
        <f>Tableau1[[#This Row],[Prix négocié  
2025
Avenant]]/Tableau1[[#This Row],[Superficie]]</f>
        <v>1.4202944444444445</v>
      </c>
      <c r="AI29" s="40">
        <v>1183.5</v>
      </c>
      <c r="AJ29" s="36">
        <v>2715.02</v>
      </c>
      <c r="AK29" s="36">
        <f>AJ29/Tableau1[[#This Row],[Superficie]]</f>
        <v>1.5083444444444445</v>
      </c>
      <c r="AL29" s="42">
        <f>(AJ29-Tableau1[[#This Row],[2025]])/Tableau1[[#This Row],[Cotisation de base TTC]]</f>
        <v>2.3871963617351551E-2</v>
      </c>
      <c r="AM29" s="42">
        <f>(AJ29-Tableau1[[#This Row],[Cotisation de base TTC]])/Tableau1[[#This Row],[Cotisation de base TTC]]</f>
        <v>0.12659236329535173</v>
      </c>
      <c r="AN29" s="36"/>
      <c r="AO29" s="36"/>
    </row>
    <row r="30" spans="1:41" ht="18" x14ac:dyDescent="0.2">
      <c r="A30" s="14" t="s">
        <v>80</v>
      </c>
      <c r="B30" s="15" t="s">
        <v>173</v>
      </c>
      <c r="C30" s="14" t="s">
        <v>166</v>
      </c>
      <c r="D30" s="14" t="s">
        <v>167</v>
      </c>
      <c r="E30" s="62">
        <v>17</v>
      </c>
      <c r="F30" s="5" t="s">
        <v>83</v>
      </c>
      <c r="G30" s="5" t="s">
        <v>200</v>
      </c>
      <c r="H30" s="5" t="s">
        <v>85</v>
      </c>
      <c r="I30" s="5" t="s">
        <v>199</v>
      </c>
      <c r="J30" s="66">
        <v>1400</v>
      </c>
      <c r="K30" s="5" t="s">
        <v>130</v>
      </c>
      <c r="L30" s="20">
        <v>1350.34</v>
      </c>
      <c r="M30" s="20">
        <f>Tableau1[[#This Row],[Cotisation de base TTC]]/Tableau1[[#This Row],[Superficie]]</f>
        <v>0.9645285714285714</v>
      </c>
      <c r="N30" s="20"/>
      <c r="O30" s="20"/>
      <c r="P30" s="20"/>
      <c r="Q30" s="32"/>
      <c r="R30" s="24"/>
      <c r="S30" s="29">
        <v>1137</v>
      </c>
      <c r="T30" s="45">
        <v>745.85</v>
      </c>
      <c r="U30" s="30"/>
      <c r="V30" s="20"/>
      <c r="W30" s="40">
        <v>1153.7</v>
      </c>
      <c r="X30" s="36">
        <v>1309.21</v>
      </c>
      <c r="Y30" s="36">
        <f>Tableau1[[#This Row],[2024]]/Tableau1[[#This Row],[Superficie]]</f>
        <v>0.93515000000000004</v>
      </c>
      <c r="Z30" s="42"/>
      <c r="AA30" s="42">
        <f>(Tableau1[[#This Row],[2024]]-Tableau1[[#This Row],[Cotisation de base TTC]])/Tableau1[[#This Row],[Cotisation de base TTC]]</f>
        <v>-3.0458995512241276E-2</v>
      </c>
      <c r="AB30" s="40">
        <v>1174.5999999999999</v>
      </c>
      <c r="AC30" s="36">
        <v>1493.58</v>
      </c>
      <c r="AD30" s="36">
        <f>Tableau1[[#This Row],[2025]]/Tableau1[[#This Row],[Superficie]]</f>
        <v>1.066842857142857</v>
      </c>
      <c r="AE30" s="42">
        <f>(Tableau1[[#This Row],[2025]]-Tableau1[[#This Row],[2024]])/Tableau1[[#This Row],[2024]]</f>
        <v>0.14082538324638513</v>
      </c>
      <c r="AF30" s="42">
        <f>(Tableau1[[#This Row],[2025]]-Tableau1[[#This Row],[Cotisation de base TTC]])/Tableau1[[#This Row],[Cotisation de base TTC]]</f>
        <v>0.10607698801783257</v>
      </c>
      <c r="AG30" s="36"/>
      <c r="AH30" s="36"/>
      <c r="AI30" s="40">
        <v>1183.5</v>
      </c>
      <c r="AJ30" s="36">
        <v>1584.41</v>
      </c>
      <c r="AK30" s="36">
        <f>AJ30/Tableau1[[#This Row],[Superficie]]</f>
        <v>1.1317214285714285</v>
      </c>
      <c r="AL30" s="42">
        <f>(AJ30-Tableau1[[#This Row],[2025]])/Tableau1[[#This Row],[Cotisation de base TTC]]</f>
        <v>6.7264540782321608E-2</v>
      </c>
      <c r="AM30" s="42">
        <f>(AJ30-Tableau1[[#This Row],[Cotisation de base TTC]])/Tableau1[[#This Row],[Cotisation de base TTC]]</f>
        <v>0.17334152880015416</v>
      </c>
      <c r="AN30" s="36"/>
      <c r="AO30" s="36"/>
    </row>
    <row r="31" spans="1:41" ht="18" x14ac:dyDescent="0.2">
      <c r="A31" s="14" t="s">
        <v>155</v>
      </c>
      <c r="B31" s="15" t="s">
        <v>169</v>
      </c>
      <c r="C31" s="14" t="s">
        <v>170</v>
      </c>
      <c r="D31" s="14" t="s">
        <v>171</v>
      </c>
      <c r="E31" s="62">
        <v>12</v>
      </c>
      <c r="F31" s="5" t="s">
        <v>83</v>
      </c>
      <c r="G31" s="5" t="s">
        <v>200</v>
      </c>
      <c r="H31" s="5" t="s">
        <v>85</v>
      </c>
      <c r="I31" s="5" t="s">
        <v>201</v>
      </c>
      <c r="J31" s="66">
        <v>1420</v>
      </c>
      <c r="K31" s="5" t="s">
        <v>130</v>
      </c>
      <c r="L31" s="20">
        <v>1226.52</v>
      </c>
      <c r="M31" s="20">
        <f>Tableau1[[#This Row],[Cotisation de base TTC]]/Tableau1[[#This Row],[Superficie]]</f>
        <v>0.86374647887323941</v>
      </c>
      <c r="N31" s="20"/>
      <c r="O31" s="20"/>
      <c r="P31" s="20"/>
      <c r="Q31" s="32"/>
      <c r="R31" s="24"/>
      <c r="S31" s="29">
        <v>1137</v>
      </c>
      <c r="T31" s="45">
        <v>680.02</v>
      </c>
      <c r="U31" s="30"/>
      <c r="V31" s="20"/>
      <c r="W31" s="40">
        <v>1153.7</v>
      </c>
      <c r="X31" s="36">
        <v>1183.51</v>
      </c>
      <c r="Y31" s="36">
        <f>Tableau1[[#This Row],[2024]]/Tableau1[[#This Row],[Superficie]]</f>
        <v>0.83345774647887327</v>
      </c>
      <c r="Z31" s="42"/>
      <c r="AA31" s="42">
        <f>(Tableau1[[#This Row],[2024]]-Tableau1[[#This Row],[Cotisation de base TTC]])/Tableau1[[#This Row],[Cotisation de base TTC]]</f>
        <v>-3.5066692756742644E-2</v>
      </c>
      <c r="AB31" s="40">
        <v>1174.5999999999999</v>
      </c>
      <c r="AC31" s="36">
        <v>1355.97</v>
      </c>
      <c r="AD31" s="36">
        <f>Tableau1[[#This Row],[2025]]/Tableau1[[#This Row],[Superficie]]</f>
        <v>0.95490845070422536</v>
      </c>
      <c r="AE31" s="42">
        <f>(Tableau1[[#This Row],[2025]]-Tableau1[[#This Row],[2024]])/Tableau1[[#This Row],[2024]]</f>
        <v>0.14571908982602599</v>
      </c>
      <c r="AF31" s="42">
        <f>(Tableau1[[#This Row],[2025]]-Tableau1[[#This Row],[Cotisation de base TTC]])/Tableau1[[#This Row],[Cotisation de base TTC]]</f>
        <v>0.10554251051756192</v>
      </c>
      <c r="AG31" s="36"/>
      <c r="AH31" s="36"/>
      <c r="AI31" s="40">
        <v>1183.5</v>
      </c>
      <c r="AJ31" s="36">
        <v>1438.08</v>
      </c>
      <c r="AK31" s="36">
        <f>AJ31/Tableau1[[#This Row],[Superficie]]</f>
        <v>1.0127323943661972</v>
      </c>
      <c r="AL31" s="42">
        <f>(AJ31-Tableau1[[#This Row],[2025]])/Tableau1[[#This Row],[Cotisation de base TTC]]</f>
        <v>6.6945504353781354E-2</v>
      </c>
      <c r="AM31" s="42">
        <f>(AJ31-Tableau1[[#This Row],[Cotisation de base TTC]])/Tableau1[[#This Row],[Cotisation de base TTC]]</f>
        <v>0.17248801487134327</v>
      </c>
      <c r="AN31" s="36"/>
      <c r="AO31" s="36"/>
    </row>
    <row r="32" spans="1:41" ht="18" x14ac:dyDescent="0.2">
      <c r="A32" s="14" t="s">
        <v>156</v>
      </c>
      <c r="B32" s="15" t="s">
        <v>174</v>
      </c>
      <c r="C32" s="14" t="s">
        <v>175</v>
      </c>
      <c r="D32" s="14" t="s">
        <v>7</v>
      </c>
      <c r="E32" s="62">
        <v>4</v>
      </c>
      <c r="F32" s="5" t="s">
        <v>83</v>
      </c>
      <c r="G32" s="5" t="s">
        <v>203</v>
      </c>
      <c r="H32" s="5" t="s">
        <v>85</v>
      </c>
      <c r="I32" s="5" t="s">
        <v>202</v>
      </c>
      <c r="J32" s="66">
        <v>450</v>
      </c>
      <c r="K32" s="5" t="s">
        <v>130</v>
      </c>
      <c r="L32" s="20">
        <v>723.46</v>
      </c>
      <c r="M32" s="20">
        <f>Tableau1[[#This Row],[Cotisation de base TTC]]/Tableau1[[#This Row],[Superficie]]</f>
        <v>1.6076888888888889</v>
      </c>
      <c r="N32" s="20"/>
      <c r="O32" s="20"/>
      <c r="P32" s="20"/>
      <c r="Q32" s="32"/>
      <c r="R32" s="24"/>
      <c r="S32" s="29">
        <v>1137</v>
      </c>
      <c r="T32" s="45">
        <v>414.45</v>
      </c>
      <c r="U32" s="30"/>
      <c r="V32" s="20"/>
      <c r="W32" s="40">
        <v>1153.7</v>
      </c>
      <c r="X32" s="36">
        <v>673.08</v>
      </c>
      <c r="Y32" s="36">
        <f>Tableau1[[#This Row],[2024]]/Tableau1[[#This Row],[Superficie]]</f>
        <v>1.4957333333333334</v>
      </c>
      <c r="Z32" s="42"/>
      <c r="AA32" s="42">
        <f>(Tableau1[[#This Row],[2024]]-Tableau1[[#This Row],[Cotisation de base TTC]])/Tableau1[[#This Row],[Cotisation de base TTC]]</f>
        <v>-6.963757498686865E-2</v>
      </c>
      <c r="AB32" s="40">
        <v>1174.5999999999999</v>
      </c>
      <c r="AC32" s="36">
        <v>808</v>
      </c>
      <c r="AD32" s="36">
        <f>Tableau1[[#This Row],[2025]]/Tableau1[[#This Row],[Superficie]]</f>
        <v>1.7955555555555556</v>
      </c>
      <c r="AE32" s="112">
        <f>(Tableau1[[#This Row],[2025]]-Tableau1[[#This Row],[2024]])/Tableau1[[#This Row],[2024]]</f>
        <v>0.20045165507814813</v>
      </c>
      <c r="AF32" s="42">
        <f>(Tableau1[[#This Row],[2025]]-Tableau1[[#This Row],[Cotisation de base TTC]])/Tableau1[[#This Row],[Cotisation de base TTC]]</f>
        <v>0.11685511292953302</v>
      </c>
      <c r="AG32" s="36"/>
      <c r="AH32" s="36"/>
      <c r="AI32" s="40">
        <v>1183.5</v>
      </c>
      <c r="AJ32" s="36">
        <v>855.15</v>
      </c>
      <c r="AK32" s="36">
        <f>AJ32/Tableau1[[#This Row],[Superficie]]</f>
        <v>1.9003333333333332</v>
      </c>
      <c r="AL32" s="42">
        <f>(AJ32-Tableau1[[#This Row],[2025]])/Tableau1[[#This Row],[Cotisation de base TTC]]</f>
        <v>6.5172919028004275E-2</v>
      </c>
      <c r="AM32" s="42">
        <f>(AJ32-Tableau1[[#This Row],[Cotisation de base TTC]])/Tableau1[[#This Row],[Cotisation de base TTC]]</f>
        <v>0.18202803195753731</v>
      </c>
      <c r="AN32" s="36"/>
      <c r="AO32" s="36"/>
    </row>
    <row r="33" spans="1:41" ht="18" x14ac:dyDescent="0.2">
      <c r="A33" s="14" t="s">
        <v>157</v>
      </c>
      <c r="B33" s="15" t="s">
        <v>176</v>
      </c>
      <c r="C33" s="14" t="s">
        <v>177</v>
      </c>
      <c r="D33" s="14" t="s">
        <v>178</v>
      </c>
      <c r="E33" s="62">
        <v>31</v>
      </c>
      <c r="F33" s="5" t="s">
        <v>83</v>
      </c>
      <c r="G33" s="5" t="s">
        <v>205</v>
      </c>
      <c r="H33" s="5" t="s">
        <v>85</v>
      </c>
      <c r="I33" s="5" t="s">
        <v>204</v>
      </c>
      <c r="J33" s="66">
        <v>3100</v>
      </c>
      <c r="K33" s="5" t="s">
        <v>206</v>
      </c>
      <c r="L33" s="20">
        <v>2534.5300000000002</v>
      </c>
      <c r="M33" s="20">
        <f>Tableau1[[#This Row],[Cotisation de base TTC]]/Tableau1[[#This Row],[Superficie]]</f>
        <v>0.81759032258064523</v>
      </c>
      <c r="N33" s="20"/>
      <c r="O33" s="20"/>
      <c r="P33" s="20"/>
      <c r="Q33" s="32"/>
      <c r="R33" s="24"/>
      <c r="S33" s="29">
        <v>1160.8</v>
      </c>
      <c r="T33" s="45">
        <v>1178.6500000000001</v>
      </c>
      <c r="U33" s="30"/>
      <c r="V33" s="20"/>
      <c r="W33" s="40">
        <v>1153.7</v>
      </c>
      <c r="X33" s="36">
        <v>2474.4699999999998</v>
      </c>
      <c r="Y33" s="36">
        <f>Tableau1[[#This Row],[2024]]/Tableau1[[#This Row],[Superficie]]</f>
        <v>0.79821612903225803</v>
      </c>
      <c r="Z33" s="42"/>
      <c r="AA33" s="42">
        <f>(Tableau1[[#This Row],[2024]]-Tableau1[[#This Row],[Cotisation de base TTC]])/Tableau1[[#This Row],[Cotisation de base TTC]]</f>
        <v>-2.3696701163529489E-2</v>
      </c>
      <c r="AB33" s="40">
        <v>1174.5999999999999</v>
      </c>
      <c r="AC33" s="36">
        <v>2769.73</v>
      </c>
      <c r="AD33" s="36">
        <f>Tableau1[[#This Row],[2025]]/Tableau1[[#This Row],[Superficie]]</f>
        <v>0.8934612903225807</v>
      </c>
      <c r="AE33" s="42">
        <f>(Tableau1[[#This Row],[2025]]-Tableau1[[#This Row],[2024]])/Tableau1[[#This Row],[2024]]</f>
        <v>0.11932252159048209</v>
      </c>
      <c r="AF33" s="42">
        <f>(Tableau1[[#This Row],[2025]]-Tableau1[[#This Row],[Cotisation de base TTC]])/Tableau1[[#This Row],[Cotisation de base TTC]]</f>
        <v>9.2798270290744167E-2</v>
      </c>
      <c r="AG33" s="36"/>
      <c r="AH33" s="36"/>
      <c r="AI33" s="40">
        <v>1183.5</v>
      </c>
      <c r="AJ33" s="36">
        <v>2941.94</v>
      </c>
      <c r="AK33" s="36">
        <f>AJ33/Tableau1[[#This Row],[Superficie]]</f>
        <v>0.94901290322580645</v>
      </c>
      <c r="AL33" s="42">
        <f>(AJ33-Tableau1[[#This Row],[2025]])/Tableau1[[#This Row],[Cotisation de base TTC]]</f>
        <v>6.794553625326985E-2</v>
      </c>
      <c r="AM33" s="42">
        <f>(AJ33-Tableau1[[#This Row],[Cotisation de base TTC]])/Tableau1[[#This Row],[Cotisation de base TTC]]</f>
        <v>0.16074380654401402</v>
      </c>
      <c r="AN33" s="36"/>
      <c r="AO33" s="36"/>
    </row>
    <row r="34" spans="1:41" ht="18" x14ac:dyDescent="0.2">
      <c r="A34" s="14" t="s">
        <v>134</v>
      </c>
      <c r="B34" s="15" t="s">
        <v>131</v>
      </c>
      <c r="C34" s="14" t="s">
        <v>132</v>
      </c>
      <c r="D34" s="14" t="s">
        <v>133</v>
      </c>
      <c r="E34" s="62">
        <v>24</v>
      </c>
      <c r="F34" s="5" t="s">
        <v>83</v>
      </c>
      <c r="G34" s="5" t="s">
        <v>208</v>
      </c>
      <c r="H34" s="5" t="s">
        <v>85</v>
      </c>
      <c r="I34" s="5" t="s">
        <v>207</v>
      </c>
      <c r="J34" s="66">
        <v>3818</v>
      </c>
      <c r="K34" s="5" t="s">
        <v>206</v>
      </c>
      <c r="L34" s="20">
        <v>2422.6799999999998</v>
      </c>
      <c r="M34" s="20">
        <f>Tableau1[[#This Row],[Cotisation de base TTC]]/Tableau1[[#This Row],[Superficie]]</f>
        <v>0.63454164484023046</v>
      </c>
      <c r="N34" s="20"/>
      <c r="O34" s="20"/>
      <c r="P34" s="20"/>
      <c r="Q34" s="32"/>
      <c r="R34" s="24"/>
      <c r="S34" s="29">
        <v>1160.8</v>
      </c>
      <c r="T34" s="45">
        <v>1186.3699999999999</v>
      </c>
      <c r="U34" s="30"/>
      <c r="V34" s="20"/>
      <c r="W34" s="40">
        <v>1153.7</v>
      </c>
      <c r="X34" s="36">
        <v>2362.65</v>
      </c>
      <c r="Y34" s="36">
        <f>Tableau1[[#This Row],[2024]]/Tableau1[[#This Row],[Superficie]]</f>
        <v>0.61881875327396541</v>
      </c>
      <c r="Z34" s="42"/>
      <c r="AA34" s="42">
        <f>(Tableau1[[#This Row],[2024]]-Tableau1[[#This Row],[Cotisation de base TTC]])/Tableau1[[#This Row],[Cotisation de base TTC]]</f>
        <v>-2.4778344643122389E-2</v>
      </c>
      <c r="AB34" s="40">
        <v>1174.5999999999999</v>
      </c>
      <c r="AC34" s="36">
        <v>2647.28</v>
      </c>
      <c r="AD34" s="36">
        <f>Tableau1[[#This Row],[2025]]/Tableau1[[#This Row],[Superficie]]</f>
        <v>0.69336825563122062</v>
      </c>
      <c r="AE34" s="42">
        <f>(Tableau1[[#This Row],[2025]]-Tableau1[[#This Row],[2024]])/Tableau1[[#This Row],[2024]]</f>
        <v>0.12047065794764358</v>
      </c>
      <c r="AF34" s="42">
        <f>(Tableau1[[#This Row],[2025]]-Tableau1[[#This Row],[Cotisation de base TTC]])/Tableau1[[#This Row],[Cotisation de base TTC]]</f>
        <v>9.2707249822510759E-2</v>
      </c>
      <c r="AG34" s="36"/>
      <c r="AH34" s="36"/>
      <c r="AI34" s="40">
        <v>1183.5</v>
      </c>
      <c r="AJ34" s="36">
        <v>2811.63</v>
      </c>
      <c r="AK34" s="36">
        <f>AJ34/Tableau1[[#This Row],[Superficie]]</f>
        <v>0.7364143530644317</v>
      </c>
      <c r="AL34" s="42">
        <f>(AJ34-Tableau1[[#This Row],[2025]])/Tableau1[[#This Row],[Cotisation de base TTC]]</f>
        <v>6.7838096653293017E-2</v>
      </c>
      <c r="AM34" s="42">
        <f>(AJ34-Tableau1[[#This Row],[Cotisation de base TTC]])/Tableau1[[#This Row],[Cotisation de base TTC]]</f>
        <v>0.16054534647580379</v>
      </c>
      <c r="AN34" s="36"/>
      <c r="AO34" s="36"/>
    </row>
    <row r="35" spans="1:41" ht="18" x14ac:dyDescent="0.2">
      <c r="A35" s="14" t="s">
        <v>158</v>
      </c>
      <c r="B35" s="15" t="s">
        <v>179</v>
      </c>
      <c r="C35" s="14" t="s">
        <v>181</v>
      </c>
      <c r="D35" s="14" t="s">
        <v>180</v>
      </c>
      <c r="E35" s="62">
        <v>17</v>
      </c>
      <c r="F35" s="5" t="s">
        <v>83</v>
      </c>
      <c r="G35" s="5" t="s">
        <v>205</v>
      </c>
      <c r="H35" s="5" t="s">
        <v>85</v>
      </c>
      <c r="I35" s="5" t="s">
        <v>209</v>
      </c>
      <c r="J35" s="66">
        <v>1650</v>
      </c>
      <c r="K35" s="5" t="s">
        <v>206</v>
      </c>
      <c r="L35" s="20">
        <v>1717.63</v>
      </c>
      <c r="M35" s="20">
        <f>Tableau1[[#This Row],[Cotisation de base TTC]]/Tableau1[[#This Row],[Superficie]]</f>
        <v>1.0409878787878788</v>
      </c>
      <c r="N35" s="20"/>
      <c r="O35" s="20"/>
      <c r="P35" s="20"/>
      <c r="Q35" s="32"/>
      <c r="R35" s="24"/>
      <c r="S35" s="29">
        <v>1160.8</v>
      </c>
      <c r="T35" s="45">
        <v>809.38</v>
      </c>
      <c r="U35" s="30"/>
      <c r="V35" s="20"/>
      <c r="W35" s="40">
        <v>1153.7</v>
      </c>
      <c r="X35" s="36">
        <v>1657.58</v>
      </c>
      <c r="Y35" s="36">
        <f>Tableau1[[#This Row],[2024]]/Tableau1[[#This Row],[Superficie]]</f>
        <v>1.0045939393939394</v>
      </c>
      <c r="Z35" s="42"/>
      <c r="AA35" s="42">
        <f>(Tableau1[[#This Row],[2024]]-Tableau1[[#This Row],[Cotisation de base TTC]])/Tableau1[[#This Row],[Cotisation de base TTC]]</f>
        <v>-3.496096365340625E-2</v>
      </c>
      <c r="AB35" s="40">
        <v>1174.5999999999999</v>
      </c>
      <c r="AC35" s="36">
        <v>1875.24</v>
      </c>
      <c r="AD35" s="36">
        <f>Tableau1[[#This Row],[2025]]/Tableau1[[#This Row],[Superficie]]</f>
        <v>1.1365090909090909</v>
      </c>
      <c r="AE35" s="42">
        <f>(Tableau1[[#This Row],[2025]]-Tableau1[[#This Row],[2024]])/Tableau1[[#This Row],[2024]]</f>
        <v>0.13131191254720742</v>
      </c>
      <c r="AF35" s="42">
        <f>(Tableau1[[#This Row],[2025]]-Tableau1[[#This Row],[Cotisation de base TTC]])/Tableau1[[#This Row],[Cotisation de base TTC]]</f>
        <v>9.1760157891979E-2</v>
      </c>
      <c r="AG35" s="36"/>
      <c r="AH35" s="36"/>
      <c r="AI35" s="40">
        <v>1183.5</v>
      </c>
      <c r="AJ35" s="36">
        <v>1990.4</v>
      </c>
      <c r="AK35" s="36">
        <f>AJ35/Tableau1[[#This Row],[Superficie]]</f>
        <v>1.2063030303030304</v>
      </c>
      <c r="AL35" s="42">
        <f>(AJ35-Tableau1[[#This Row],[2025]])/Tableau1[[#This Row],[Cotisation de base TTC]]</f>
        <v>6.7045871345982583E-2</v>
      </c>
      <c r="AM35" s="42">
        <f>(AJ35-Tableau1[[#This Row],[Cotisation de base TTC]])/Tableau1[[#This Row],[Cotisation de base TTC]]</f>
        <v>0.15880602923796158</v>
      </c>
      <c r="AN35" s="36"/>
      <c r="AO35" s="36"/>
    </row>
    <row r="36" spans="1:41" ht="18" x14ac:dyDescent="0.2">
      <c r="A36" s="14" t="s">
        <v>159</v>
      </c>
      <c r="B36" s="15" t="s">
        <v>129</v>
      </c>
      <c r="C36" s="14" t="s">
        <v>182</v>
      </c>
      <c r="D36" s="14" t="s">
        <v>4</v>
      </c>
      <c r="E36" s="62">
        <v>0</v>
      </c>
      <c r="F36" s="5" t="s">
        <v>125</v>
      </c>
      <c r="G36" s="5" t="s">
        <v>211</v>
      </c>
      <c r="H36" s="5" t="s">
        <v>212</v>
      </c>
      <c r="I36" s="5" t="s">
        <v>210</v>
      </c>
      <c r="J36" s="66">
        <v>1000</v>
      </c>
      <c r="K36" s="5" t="s">
        <v>126</v>
      </c>
      <c r="L36" s="20">
        <v>943</v>
      </c>
      <c r="M36" s="20">
        <f>Tableau1[[#This Row],[Cotisation de base TTC]]/Tableau1[[#This Row],[Superficie]]</f>
        <v>0.94299999999999995</v>
      </c>
      <c r="N36" s="20"/>
      <c r="O36" s="20"/>
      <c r="P36" s="20"/>
      <c r="Q36" s="32"/>
      <c r="R36" s="24"/>
      <c r="S36" s="29">
        <v>1135.5</v>
      </c>
      <c r="T36" s="31">
        <v>1085</v>
      </c>
      <c r="U36" s="30"/>
      <c r="V36" s="20"/>
      <c r="W36" s="40">
        <v>1163.5999999999999</v>
      </c>
      <c r="X36" s="36">
        <v>1140</v>
      </c>
      <c r="Y36" s="36">
        <f>Tableau1[[#This Row],[2024]]/Tableau1[[#This Row],[Superficie]]</f>
        <v>1.1399999999999999</v>
      </c>
      <c r="Z36" s="42">
        <f>(Tableau1[[#This Row],[2024]]-Tableau1[[#This Row],[2023]])/Tableau1[[#This Row],[2023]]</f>
        <v>5.0691244239631339E-2</v>
      </c>
      <c r="AA36" s="42">
        <f>(Tableau1[[#This Row],[2024]]-Tableau1[[#This Row],[Cotisation de base TTC]])/Tableau1[[#This Row],[Cotisation de base TTC]]</f>
        <v>0.20890774125132555</v>
      </c>
      <c r="AB36" s="40">
        <v>1174.5999999999999</v>
      </c>
      <c r="AC36" s="36"/>
      <c r="AD36" s="36">
        <f>Tableau1[[#This Row],[2025]]/Tableau1[[#This Row],[Superficie]]</f>
        <v>0</v>
      </c>
      <c r="AE36" s="42">
        <f>(Tableau1[[#This Row],[2025]]-Tableau1[[#This Row],[2024]])/Tableau1[[#This Row],[2024]]</f>
        <v>-1</v>
      </c>
      <c r="AF36" s="42">
        <f>(Tableau1[[#This Row],[2025]]-Tableau1[[#This Row],[Cotisation de base TTC]])/Tableau1[[#This Row],[Cotisation de base TTC]]</f>
        <v>-1</v>
      </c>
      <c r="AG36" s="36"/>
      <c r="AH36" s="36"/>
      <c r="AI36" s="40">
        <v>1183.5</v>
      </c>
      <c r="AJ36" s="36"/>
      <c r="AK36" s="36">
        <f>AJ36/Tableau1[[#This Row],[Superficie]]</f>
        <v>0</v>
      </c>
      <c r="AL36" s="42">
        <f>(AJ36-Tableau1[[#This Row],[2025]])/Tableau1[[#This Row],[Cotisation de base TTC]]</f>
        <v>0</v>
      </c>
      <c r="AM36" s="42">
        <f>(AJ36-Tableau1[[#This Row],[Cotisation de base TTC]])/Tableau1[[#This Row],[Cotisation de base TTC]]</f>
        <v>-1</v>
      </c>
      <c r="AN36" s="36"/>
      <c r="AO36" s="36"/>
    </row>
    <row r="37" spans="1:41" ht="18" x14ac:dyDescent="0.2">
      <c r="A37" s="14" t="s">
        <v>160</v>
      </c>
      <c r="B37" s="15" t="s">
        <v>183</v>
      </c>
      <c r="C37" s="14" t="s">
        <v>184</v>
      </c>
      <c r="D37" s="14" t="s">
        <v>167</v>
      </c>
      <c r="E37" s="62">
        <v>6</v>
      </c>
      <c r="F37" s="5" t="s">
        <v>83</v>
      </c>
      <c r="G37" s="5" t="s">
        <v>214</v>
      </c>
      <c r="H37" s="5" t="s">
        <v>85</v>
      </c>
      <c r="I37" s="5" t="s">
        <v>213</v>
      </c>
      <c r="J37" s="66">
        <v>840</v>
      </c>
      <c r="K37" s="5" t="s">
        <v>206</v>
      </c>
      <c r="L37" s="20">
        <v>1053.06</v>
      </c>
      <c r="M37" s="20">
        <f>Tableau1[[#This Row],[Cotisation de base TTC]]/Tableau1[[#This Row],[Superficie]]</f>
        <v>1.2536428571428571</v>
      </c>
      <c r="N37" s="20"/>
      <c r="O37" s="20"/>
      <c r="P37" s="20"/>
      <c r="Q37" s="32"/>
      <c r="R37" s="24"/>
      <c r="S37" s="29">
        <v>1160.8</v>
      </c>
      <c r="T37" s="45">
        <v>413.7</v>
      </c>
      <c r="U37" s="30"/>
      <c r="V37" s="20"/>
      <c r="W37" s="40">
        <v>1153.7</v>
      </c>
      <c r="X37" s="36">
        <v>993</v>
      </c>
      <c r="Y37" s="36">
        <f>Tableau1[[#This Row],[2024]]/Tableau1[[#This Row],[Superficie]]</f>
        <v>1.1821428571428572</v>
      </c>
      <c r="Z37" s="42"/>
      <c r="AA37" s="42">
        <f>(Tableau1[[#This Row],[2024]]-Tableau1[[#This Row],[Cotisation de base TTC]])/Tableau1[[#This Row],[Cotisation de base TTC]]</f>
        <v>-5.7033787248589776E-2</v>
      </c>
      <c r="AB37" s="40">
        <v>1174.5999999999999</v>
      </c>
      <c r="AC37" s="36">
        <v>1163.67</v>
      </c>
      <c r="AD37" s="36">
        <f>Tableau1[[#This Row],[2025]]/Tableau1[[#This Row],[Superficie]]</f>
        <v>1.3853214285714286</v>
      </c>
      <c r="AE37" s="42">
        <f>(Tableau1[[#This Row],[2025]]-Tableau1[[#This Row],[2024]])/Tableau1[[#This Row],[2024]]</f>
        <v>0.17187311178247741</v>
      </c>
      <c r="AF37" s="42">
        <f>(Tableau1[[#This Row],[2025]]-Tableau1[[#This Row],[Cotisation de base TTC]])/Tableau1[[#This Row],[Cotisation de base TTC]]</f>
        <v>0.10503675004273273</v>
      </c>
      <c r="AG37" s="36"/>
      <c r="AH37" s="36"/>
      <c r="AI37" s="40">
        <v>1183.5</v>
      </c>
      <c r="AJ37" s="36">
        <v>1233.48</v>
      </c>
      <c r="AK37" s="36">
        <f>AJ37/Tableau1[[#This Row],[Superficie]]</f>
        <v>1.4684285714285714</v>
      </c>
      <c r="AL37" s="42">
        <f>(AJ37-Tableau1[[#This Row],[2025]])/Tableau1[[#This Row],[Cotisation de base TTC]]</f>
        <v>6.6292518944789422E-2</v>
      </c>
      <c r="AM37" s="42">
        <f>(AJ37-Tableau1[[#This Row],[Cotisation de base TTC]])/Tableau1[[#This Row],[Cotisation de base TTC]]</f>
        <v>0.17132926898752215</v>
      </c>
      <c r="AN37" s="36"/>
      <c r="AO37" s="36"/>
    </row>
    <row r="38" spans="1:41" ht="18.75" customHeight="1" x14ac:dyDescent="0.2">
      <c r="A38" s="14" t="s">
        <v>161</v>
      </c>
      <c r="B38" s="15" t="s">
        <v>186</v>
      </c>
      <c r="C38" s="14" t="s">
        <v>185</v>
      </c>
      <c r="D38" s="14" t="s">
        <v>167</v>
      </c>
      <c r="E38" s="62">
        <v>6</v>
      </c>
      <c r="F38" s="5" t="s">
        <v>83</v>
      </c>
      <c r="G38" s="5" t="s">
        <v>214</v>
      </c>
      <c r="H38" s="5" t="s">
        <v>85</v>
      </c>
      <c r="I38" s="5" t="s">
        <v>215</v>
      </c>
      <c r="J38" s="66">
        <v>840</v>
      </c>
      <c r="K38" s="5" t="s">
        <v>206</v>
      </c>
      <c r="L38" s="20">
        <v>1053.06</v>
      </c>
      <c r="M38" s="20">
        <f>Tableau1[[#This Row],[Cotisation de base TTC]]/Tableau1[[#This Row],[Superficie]]</f>
        <v>1.2536428571428571</v>
      </c>
      <c r="N38" s="20"/>
      <c r="O38" s="20"/>
      <c r="P38" s="20"/>
      <c r="Q38" s="32"/>
      <c r="R38" s="24"/>
      <c r="S38" s="29">
        <v>1160.8</v>
      </c>
      <c r="T38" s="45">
        <v>413.7</v>
      </c>
      <c r="U38" s="30"/>
      <c r="V38" s="20"/>
      <c r="W38" s="40">
        <v>1153.7</v>
      </c>
      <c r="X38" s="36">
        <v>993</v>
      </c>
      <c r="Y38" s="36">
        <f>Tableau1[[#This Row],[2024]]/Tableau1[[#This Row],[Superficie]]</f>
        <v>1.1821428571428572</v>
      </c>
      <c r="Z38" s="42"/>
      <c r="AA38" s="42">
        <f>(Tableau1[[#This Row],[2024]]-Tableau1[[#This Row],[Cotisation de base TTC]])/Tableau1[[#This Row],[Cotisation de base TTC]]</f>
        <v>-5.7033787248589776E-2</v>
      </c>
      <c r="AB38" s="40">
        <v>1174.5999999999999</v>
      </c>
      <c r="AC38" s="36">
        <v>1163.67</v>
      </c>
      <c r="AD38" s="36">
        <f>Tableau1[[#This Row],[2025]]/Tableau1[[#This Row],[Superficie]]</f>
        <v>1.3853214285714286</v>
      </c>
      <c r="AE38" s="42">
        <f>(Tableau1[[#This Row],[2025]]-Tableau1[[#This Row],[2024]])/Tableau1[[#This Row],[2024]]</f>
        <v>0.17187311178247741</v>
      </c>
      <c r="AF38" s="42">
        <f>(Tableau1[[#This Row],[2025]]-Tableau1[[#This Row],[Cotisation de base TTC]])/Tableau1[[#This Row],[Cotisation de base TTC]]</f>
        <v>0.10503675004273273</v>
      </c>
      <c r="AG38" s="36"/>
      <c r="AH38" s="36"/>
      <c r="AI38" s="40">
        <v>1183.5</v>
      </c>
      <c r="AJ38" s="36">
        <v>1233.48</v>
      </c>
      <c r="AK38" s="36">
        <f>AJ38/Tableau1[[#This Row],[Superficie]]</f>
        <v>1.4684285714285714</v>
      </c>
      <c r="AL38" s="42">
        <f>(AJ38-Tableau1[[#This Row],[2025]])/Tableau1[[#This Row],[Cotisation de base TTC]]</f>
        <v>6.6292518944789422E-2</v>
      </c>
      <c r="AM38" s="42">
        <f>(AJ38-Tableau1[[#This Row],[Cotisation de base TTC]])/Tableau1[[#This Row],[Cotisation de base TTC]]</f>
        <v>0.17132926898752215</v>
      </c>
      <c r="AN38" s="36"/>
      <c r="AO38" s="36"/>
    </row>
    <row r="39" spans="1:41" s="60" customFormat="1" ht="18.75" customHeight="1" x14ac:dyDescent="0.2">
      <c r="A39" s="47" t="s">
        <v>162</v>
      </c>
      <c r="B39" s="48" t="s">
        <v>187</v>
      </c>
      <c r="C39" s="47" t="s">
        <v>188</v>
      </c>
      <c r="D39" s="47" t="s">
        <v>167</v>
      </c>
      <c r="E39" s="63">
        <v>5</v>
      </c>
      <c r="F39" s="57" t="s">
        <v>83</v>
      </c>
      <c r="G39" s="49"/>
      <c r="H39" s="5" t="s">
        <v>85</v>
      </c>
      <c r="I39" s="49"/>
      <c r="J39" s="49"/>
      <c r="K39" s="49"/>
      <c r="L39" s="21"/>
      <c r="M39" s="21" t="e">
        <f>Tableau1[[#This Row],[Cotisation de base TTC]]/Tableau1[[#This Row],[Superficie]]</f>
        <v>#DIV/0!</v>
      </c>
      <c r="N39" s="21"/>
      <c r="O39" s="21"/>
      <c r="P39" s="21"/>
      <c r="Q39" s="58"/>
      <c r="R39" s="51"/>
      <c r="S39" s="52"/>
      <c r="T39" s="59"/>
      <c r="U39" s="30"/>
      <c r="V39" s="20"/>
      <c r="W39" s="55"/>
      <c r="X39" s="55"/>
      <c r="Y39" s="55"/>
      <c r="Z39" s="42"/>
      <c r="AA39" s="55"/>
      <c r="AB39" s="40">
        <v>1174.5999999999999</v>
      </c>
      <c r="AC39" s="55"/>
      <c r="AD39" s="55" t="e">
        <f>Tableau1[[#This Row],[2025]]/Tableau1[[#This Row],[Superficie]]</f>
        <v>#DIV/0!</v>
      </c>
      <c r="AE39" s="56" t="e">
        <f>(Tableau1[[#This Row],[2025]]-Tableau1[[#This Row],[2024]])/Tableau1[[#This Row],[2024]]</f>
        <v>#DIV/0!</v>
      </c>
      <c r="AF39" s="55" t="e">
        <f>(Tableau1[[#This Row],[2025]]-Tableau1[[#This Row],[Cotisation de base TTC]])/Tableau1[[#This Row],[Cotisation de base TTC]]</f>
        <v>#DIV/0!</v>
      </c>
      <c r="AG39" s="55"/>
      <c r="AH39" s="55"/>
      <c r="AI39" s="40"/>
      <c r="AJ39" s="55">
        <v>232.18</v>
      </c>
      <c r="AK39" s="36" t="e">
        <f>AJ39/Tableau1[[#This Row],[Superficie]]</f>
        <v>#DIV/0!</v>
      </c>
      <c r="AL39" s="42" t="e">
        <f>(AJ39-Tableau1[[#This Row],[2025]])/Tableau1[[#This Row],[Cotisation de base TTC]]</f>
        <v>#DIV/0!</v>
      </c>
      <c r="AM39" s="42" t="e">
        <f>(AJ39-Tableau1[[#This Row],[Cotisation de base TTC]])/Tableau1[[#This Row],[Cotisation de base TTC]]</f>
        <v>#DIV/0!</v>
      </c>
      <c r="AN39" s="55"/>
      <c r="AO39" s="55"/>
    </row>
    <row r="40" spans="1:41" ht="18" x14ac:dyDescent="0.2">
      <c r="A40" s="14" t="s">
        <v>78</v>
      </c>
      <c r="B40" s="15" t="s">
        <v>189</v>
      </c>
      <c r="C40" s="14" t="s">
        <v>190</v>
      </c>
      <c r="D40" s="14" t="s">
        <v>191</v>
      </c>
      <c r="E40" s="62">
        <v>16</v>
      </c>
      <c r="F40" s="5" t="s">
        <v>83</v>
      </c>
      <c r="G40" s="5" t="s">
        <v>217</v>
      </c>
      <c r="H40" s="5" t="s">
        <v>85</v>
      </c>
      <c r="I40" s="5" t="s">
        <v>216</v>
      </c>
      <c r="J40" s="66">
        <v>1500</v>
      </c>
      <c r="K40" s="5" t="s">
        <v>206</v>
      </c>
      <c r="L40" s="20">
        <v>1578.51</v>
      </c>
      <c r="M40" s="20">
        <f>Tableau1[[#This Row],[Cotisation de base TTC]]/Tableau1[[#This Row],[Superficie]]</f>
        <v>1.0523400000000001</v>
      </c>
      <c r="N40" s="20"/>
      <c r="O40" s="20"/>
      <c r="P40" s="20"/>
      <c r="Q40" s="32"/>
      <c r="R40" s="24"/>
      <c r="S40" s="29">
        <v>1160.8</v>
      </c>
      <c r="T40" s="45">
        <v>496.84</v>
      </c>
      <c r="U40" s="30"/>
      <c r="V40" s="20"/>
      <c r="W40" s="40">
        <v>1153.7</v>
      </c>
      <c r="X40" s="36">
        <v>1518.45</v>
      </c>
      <c r="Y40" s="36">
        <f>Tableau1[[#This Row],[2024]]/Tableau1[[#This Row],[Superficie]]</f>
        <v>1.0123</v>
      </c>
      <c r="Z40" s="42"/>
      <c r="AA40" s="42">
        <f>(Tableau1[[#This Row],[2024]]-Tableau1[[#This Row],[Cotisation de base TTC]])/Tableau1[[#This Row],[Cotisation de base TTC]]</f>
        <v>-3.8048539445426348E-2</v>
      </c>
      <c r="AB40" s="40">
        <v>1174.5999999999999</v>
      </c>
      <c r="AC40" s="36">
        <v>2198.4299999999998</v>
      </c>
      <c r="AD40" s="36">
        <f>Tableau1[[#This Row],[2025]]/Tableau1[[#This Row],[Superficie]]</f>
        <v>1.4656199999999999</v>
      </c>
      <c r="AE40" s="112">
        <f>(Tableau1[[#This Row],[2025]]-Tableau1[[#This Row],[2024]])/Tableau1[[#This Row],[2024]]</f>
        <v>0.44781191346438787</v>
      </c>
      <c r="AF40" s="42">
        <f>(Tableau1[[#This Row],[2025]]-Tableau1[[#This Row],[Cotisation de base TTC]])/Tableau1[[#This Row],[Cotisation de base TTC]]</f>
        <v>0.39272478476537992</v>
      </c>
      <c r="AG40" s="36"/>
      <c r="AH40" s="36"/>
      <c r="AI40" s="40">
        <v>1183.5</v>
      </c>
      <c r="AJ40" s="36">
        <v>2429.34</v>
      </c>
      <c r="AK40" s="36">
        <f>AJ40/Tableau1[[#This Row],[Superficie]]</f>
        <v>1.6195600000000001</v>
      </c>
      <c r="AL40" s="42">
        <f>(AJ40-Tableau1[[#This Row],[2025]])/Tableau1[[#This Row],[Cotisation de base TTC]]</f>
        <v>0.14628352053518845</v>
      </c>
      <c r="AM40" s="42">
        <f>(AJ40-Tableau1[[#This Row],[Cotisation de base TTC]])/Tableau1[[#This Row],[Cotisation de base TTC]]</f>
        <v>0.53900830530056831</v>
      </c>
      <c r="AN40" s="36"/>
      <c r="AO40" s="36"/>
    </row>
    <row r="41" spans="1:41" ht="18" x14ac:dyDescent="0.2">
      <c r="A41" s="14" t="s">
        <v>163</v>
      </c>
      <c r="B41" s="15" t="s">
        <v>192</v>
      </c>
      <c r="C41" s="14" t="s">
        <v>193</v>
      </c>
      <c r="D41" s="14" t="s">
        <v>178</v>
      </c>
      <c r="E41" s="62">
        <v>34</v>
      </c>
      <c r="F41" s="5" t="s">
        <v>83</v>
      </c>
      <c r="G41" s="5" t="s">
        <v>219</v>
      </c>
      <c r="H41" s="5" t="s">
        <v>85</v>
      </c>
      <c r="I41" s="5" t="s">
        <v>218</v>
      </c>
      <c r="J41" s="66">
        <v>4050</v>
      </c>
      <c r="K41" s="5" t="s">
        <v>221</v>
      </c>
      <c r="L41" s="20">
        <v>3116.03</v>
      </c>
      <c r="M41" s="20">
        <f>Tableau1[[#This Row],[Cotisation de base TTC]]/Tableau1[[#This Row],[Superficie]]</f>
        <v>0.76939012345679014</v>
      </c>
      <c r="N41" s="20"/>
      <c r="O41" s="20"/>
      <c r="P41" s="20"/>
      <c r="Q41" s="32"/>
      <c r="R41" s="24"/>
      <c r="S41" s="29">
        <v>1163.5999999999999</v>
      </c>
      <c r="T41" s="45">
        <v>687.93</v>
      </c>
      <c r="U41" s="30"/>
      <c r="V41" s="20"/>
      <c r="W41" s="40">
        <v>1153.7</v>
      </c>
      <c r="X41" s="36">
        <v>3055.99</v>
      </c>
      <c r="Y41" s="36">
        <f>Tableau1[[#This Row],[2024]]/Tableau1[[#This Row],[Superficie]]</f>
        <v>0.75456543209876537</v>
      </c>
      <c r="Z41" s="42"/>
      <c r="AA41" s="42">
        <f>(Tableau1[[#This Row],[2024]]-Tableau1[[#This Row],[Cotisation de base TTC]])/Tableau1[[#This Row],[Cotisation de base TTC]]</f>
        <v>-1.9268107174834778E-2</v>
      </c>
      <c r="AB41" s="40">
        <v>1174.5999999999999</v>
      </c>
      <c r="AC41" s="36">
        <v>4034.85</v>
      </c>
      <c r="AD41" s="36">
        <f>Tableau1[[#This Row],[2025]]/Tableau1[[#This Row],[Superficie]]</f>
        <v>0.99625925925925929</v>
      </c>
      <c r="AE41" s="112">
        <f>(Tableau1[[#This Row],[2025]]-Tableau1[[#This Row],[2024]])/Tableau1[[#This Row],[2024]]</f>
        <v>0.3203086397534024</v>
      </c>
      <c r="AF41" s="42">
        <f>(Tableau1[[#This Row],[2025]]-Tableau1[[#This Row],[Cotisation de base TTC]])/Tableau1[[#This Row],[Cotisation de base TTC]]</f>
        <v>0.29486879137877353</v>
      </c>
      <c r="AG41" s="36"/>
      <c r="AH41" s="36"/>
      <c r="AI41" s="40">
        <v>1183.5</v>
      </c>
      <c r="AJ41" s="36">
        <v>4267.1899999999996</v>
      </c>
      <c r="AK41" s="36">
        <f>AJ41/Tableau1[[#This Row],[Superficie]]</f>
        <v>1.053627160493827</v>
      </c>
      <c r="AL41" s="42">
        <f>(AJ41-Tableau1[[#This Row],[2025]])/Tableau1[[#This Row],[Cotisation de base TTC]]</f>
        <v>7.4562825133262414E-2</v>
      </c>
      <c r="AM41" s="42">
        <f>(AJ41-Tableau1[[#This Row],[Cotisation de base TTC]])/Tableau1[[#This Row],[Cotisation de base TTC]]</f>
        <v>0.36943161651203593</v>
      </c>
      <c r="AN41" s="36"/>
      <c r="AO41" s="36"/>
    </row>
    <row r="42" spans="1:41" s="60" customFormat="1" ht="18" x14ac:dyDescent="0.2">
      <c r="A42" s="47" t="s">
        <v>164</v>
      </c>
      <c r="B42" s="48" t="s">
        <v>194</v>
      </c>
      <c r="C42" s="47" t="s">
        <v>196</v>
      </c>
      <c r="D42" s="47" t="s">
        <v>198</v>
      </c>
      <c r="E42" s="63">
        <v>28</v>
      </c>
      <c r="F42" s="49" t="s">
        <v>83</v>
      </c>
      <c r="G42" s="49" t="s">
        <v>224</v>
      </c>
      <c r="H42" s="49" t="s">
        <v>85</v>
      </c>
      <c r="I42" s="49" t="s">
        <v>225</v>
      </c>
      <c r="J42" s="49" t="s">
        <v>226</v>
      </c>
      <c r="K42" s="49" t="s">
        <v>76</v>
      </c>
      <c r="L42" s="21">
        <v>199.5</v>
      </c>
      <c r="M42" s="21">
        <f>Tableau1[[#This Row],[Cotisation de base TTC]]/Tableau1[[#This Row],[Superficie]]</f>
        <v>0.14128895184135978</v>
      </c>
      <c r="N42" s="21"/>
      <c r="O42" s="21"/>
      <c r="P42" s="21"/>
      <c r="Q42" s="58"/>
      <c r="R42" s="51"/>
      <c r="S42" s="52"/>
      <c r="T42" s="61"/>
      <c r="U42" s="30"/>
      <c r="V42" s="20"/>
      <c r="W42" s="54"/>
      <c r="X42" s="100">
        <v>205.76</v>
      </c>
      <c r="Y42" s="55"/>
      <c r="Z42" s="42"/>
      <c r="AA42" s="56"/>
      <c r="AB42" s="40">
        <v>1174.5999999999999</v>
      </c>
      <c r="AC42" s="55"/>
      <c r="AD42" s="55">
        <f>Tableau1[[#This Row],[2025]]/Tableau1[[#This Row],[Superficie]]</f>
        <v>0</v>
      </c>
      <c r="AE42" s="56">
        <f>(Tableau1[[#This Row],[2025]]-Tableau1[[#This Row],[2024]])/Tableau1[[#This Row],[2024]]</f>
        <v>-1</v>
      </c>
      <c r="AF42" s="56">
        <f>(Tableau1[[#This Row],[2025]]-Tableau1[[#This Row],[Cotisation de base TTC]])/Tableau1[[#This Row],[Cotisation de base TTC]]</f>
        <v>-1</v>
      </c>
      <c r="AG42" s="55"/>
      <c r="AH42" s="55"/>
      <c r="AI42" s="40"/>
      <c r="AJ42" s="55">
        <v>264.85000000000002</v>
      </c>
      <c r="AK42" s="36">
        <f>AJ42/Tableau1[[#This Row],[Superficie]]</f>
        <v>0.18757082152974505</v>
      </c>
      <c r="AL42" s="42">
        <f>(AJ42-Tableau1[[#This Row],[2025]])/Tableau1[[#This Row],[Cotisation de base TTC]]</f>
        <v>1.3275689223057645</v>
      </c>
      <c r="AM42" s="42">
        <f>(AJ42-Tableau1[[#This Row],[Cotisation de base TTC]])/Tableau1[[#This Row],[Cotisation de base TTC]]</f>
        <v>0.32756892230576451</v>
      </c>
      <c r="AN42" s="55"/>
      <c r="AO42" s="55"/>
    </row>
    <row r="43" spans="1:41" ht="18" x14ac:dyDescent="0.2">
      <c r="A43" s="14" t="s">
        <v>77</v>
      </c>
      <c r="B43" s="15" t="s">
        <v>195</v>
      </c>
      <c r="C43" s="14" t="s">
        <v>197</v>
      </c>
      <c r="D43" s="18" t="s">
        <v>4</v>
      </c>
      <c r="E43" s="62">
        <v>22</v>
      </c>
      <c r="F43" s="5" t="s">
        <v>83</v>
      </c>
      <c r="G43" s="5" t="s">
        <v>223</v>
      </c>
      <c r="H43" s="5" t="s">
        <v>85</v>
      </c>
      <c r="I43" s="5" t="s">
        <v>220</v>
      </c>
      <c r="J43" s="66">
        <v>3000</v>
      </c>
      <c r="K43" s="5" t="s">
        <v>221</v>
      </c>
      <c r="L43" s="20">
        <v>1980.43</v>
      </c>
      <c r="M43" s="20">
        <f>Tableau1[[#This Row],[Cotisation de base TTC]]/Tableau1[[#This Row],[Superficie]]</f>
        <v>0.6601433333333333</v>
      </c>
      <c r="N43" s="20"/>
      <c r="O43" s="20"/>
      <c r="P43" s="20"/>
      <c r="Q43" s="32"/>
      <c r="R43" s="24"/>
      <c r="S43" s="29"/>
      <c r="T43" s="31"/>
      <c r="U43" s="30"/>
      <c r="V43" s="20"/>
      <c r="W43" s="40"/>
      <c r="X43" s="100">
        <v>2122.11</v>
      </c>
      <c r="Y43" s="36"/>
      <c r="Z43" s="42"/>
      <c r="AA43" s="42"/>
      <c r="AB43" s="40">
        <v>1174.5999999999999</v>
      </c>
      <c r="AC43" s="36">
        <v>2124.6</v>
      </c>
      <c r="AD43" s="36">
        <f>Tableau1[[#This Row],[2025]]/Tableau1[[#This Row],[Superficie]]</f>
        <v>0.70819999999999994</v>
      </c>
      <c r="AE43" s="36">
        <f>(Tableau1[[#This Row],[2025]]-Tableau1[[#This Row],[2024]])/Tableau1[[#This Row],[2024]]</f>
        <v>1.1733604761297867E-3</v>
      </c>
      <c r="AF43" s="42">
        <f>(Tableau1[[#This Row],[2025]]-Tableau1[[#This Row],[Cotisation de base TTC]])/Tableau1[[#This Row],[Cotisation de base TTC]]</f>
        <v>7.2797321793751785E-2</v>
      </c>
      <c r="AG43" s="36"/>
      <c r="AH43" s="36"/>
      <c r="AI43" s="40">
        <v>1183.5</v>
      </c>
      <c r="AJ43" s="36">
        <v>2255.6</v>
      </c>
      <c r="AK43" s="36">
        <f>AJ43/Tableau1[[#This Row],[Superficie]]</f>
        <v>0.75186666666666668</v>
      </c>
      <c r="AL43" s="42">
        <f>(AJ43-Tableau1[[#This Row],[2025]])/Tableau1[[#This Row],[Cotisation de base TTC]]</f>
        <v>6.6147250849562966E-2</v>
      </c>
      <c r="AM43" s="42">
        <f>(AJ43-Tableau1[[#This Row],[Cotisation de base TTC]])/Tableau1[[#This Row],[Cotisation de base TTC]]</f>
        <v>0.13894457264331475</v>
      </c>
      <c r="AN43" s="36"/>
      <c r="AO43" s="36"/>
    </row>
    <row r="44" spans="1:41" ht="18" x14ac:dyDescent="0.2">
      <c r="A44" s="14" t="s">
        <v>227</v>
      </c>
      <c r="B44" s="15" t="s">
        <v>228</v>
      </c>
      <c r="C44" s="18" t="s">
        <v>229</v>
      </c>
      <c r="D44" s="14" t="s">
        <v>4</v>
      </c>
      <c r="E44" s="14" t="s">
        <v>161</v>
      </c>
      <c r="F44" s="19" t="s">
        <v>83</v>
      </c>
      <c r="G44" s="5" t="s">
        <v>230</v>
      </c>
      <c r="H44" s="5" t="s">
        <v>85</v>
      </c>
      <c r="I44" s="5" t="s">
        <v>231</v>
      </c>
      <c r="J44" s="5" t="s">
        <v>232</v>
      </c>
      <c r="K44" s="5" t="s">
        <v>221</v>
      </c>
      <c r="L44" s="20">
        <v>2245.61</v>
      </c>
      <c r="M44" s="20">
        <f>Tableau1[[#This Row],[Cotisation de base TTC]]/Tableau1[[#This Row],[Superficie]]</f>
        <v>0.74853666666666674</v>
      </c>
      <c r="N44" s="20"/>
      <c r="O44" s="20"/>
      <c r="P44" s="20"/>
      <c r="Q44" s="32"/>
      <c r="R44" s="24"/>
      <c r="S44" s="29"/>
      <c r="T44" s="101"/>
      <c r="U44" s="5"/>
      <c r="V44" s="20"/>
      <c r="W44" s="40"/>
      <c r="X44" s="100">
        <v>2305.27</v>
      </c>
      <c r="Y44" s="36"/>
      <c r="Z44" s="36"/>
      <c r="AA44" s="36"/>
      <c r="AB44" s="40">
        <v>1174.5999999999999</v>
      </c>
      <c r="AC44" s="36">
        <v>2905.09</v>
      </c>
      <c r="AD44" s="36">
        <f>Tableau1[[#This Row],[2025]]/Tableau1[[#This Row],[Superficie]]</f>
        <v>0.96836333333333335</v>
      </c>
      <c r="AE44" s="36">
        <f>(Tableau1[[#This Row],[2025]]-Tableau1[[#This Row],[2024]])/Tableau1[[#This Row],[2024]]</f>
        <v>0.26019511814234347</v>
      </c>
      <c r="AF44" s="36">
        <f>(Tableau1[[#This Row],[2025]]-Tableau1[[#This Row],[Cotisation de base TTC]])/Tableau1[[#This Row],[Cotisation de base TTC]]</f>
        <v>0.29367521519765227</v>
      </c>
      <c r="AG44" s="36"/>
      <c r="AH44" s="36"/>
      <c r="AI44" s="40">
        <v>1183.5</v>
      </c>
      <c r="AJ44" s="36">
        <v>3085.89</v>
      </c>
      <c r="AK44" s="36">
        <f>AJ44/Tableau1[[#This Row],[Superficie]]</f>
        <v>1.0286299999999999</v>
      </c>
      <c r="AL44" s="42">
        <f>(AJ44-Tableau1[[#This Row],[2025]])/Tableau1[[#This Row],[Cotisation de base TTC]]</f>
        <v>8.0512644671158262E-2</v>
      </c>
      <c r="AM44" s="42">
        <f>(AJ44-Tableau1[[#This Row],[Cotisation de base TTC]])/Tableau1[[#This Row],[Cotisation de base TTC]]</f>
        <v>0.37418785986881059</v>
      </c>
      <c r="AN44" s="36"/>
      <c r="AO44" s="36"/>
    </row>
    <row r="45" spans="1:41" ht="18" x14ac:dyDescent="0.2">
      <c r="A45" s="14" t="s">
        <v>233</v>
      </c>
      <c r="B45" s="15" t="s">
        <v>236</v>
      </c>
      <c r="C45" s="14" t="s">
        <v>237</v>
      </c>
      <c r="D45" s="18" t="s">
        <v>238</v>
      </c>
      <c r="E45" s="14" t="s">
        <v>54</v>
      </c>
      <c r="F45" s="19" t="s">
        <v>83</v>
      </c>
      <c r="G45" s="5"/>
      <c r="H45" s="5" t="s">
        <v>85</v>
      </c>
      <c r="I45" s="5" t="s">
        <v>248</v>
      </c>
      <c r="J45" s="5" t="s">
        <v>249</v>
      </c>
      <c r="K45" s="5"/>
      <c r="L45" s="20"/>
      <c r="M45" s="20">
        <f>Tableau1[[#This Row],[Cotisation de base TTC]]/Tableau1[[#This Row],[Superficie]]</f>
        <v>0</v>
      </c>
      <c r="N45" s="20"/>
      <c r="O45" s="20"/>
      <c r="P45" s="20"/>
      <c r="Q45" s="32"/>
      <c r="R45" s="24"/>
      <c r="S45" s="29"/>
      <c r="T45" s="101"/>
      <c r="U45" s="5"/>
      <c r="V45" s="20"/>
      <c r="W45" s="40"/>
      <c r="X45" s="36"/>
      <c r="Y45" s="36"/>
      <c r="Z45" s="36"/>
      <c r="AA45" s="36"/>
      <c r="AB45" s="40">
        <v>1174.5999999999999</v>
      </c>
      <c r="AC45" s="36">
        <v>1088.92</v>
      </c>
      <c r="AD45" s="36">
        <f>Tableau1[[#This Row],[2025]]/Tableau1[[#This Row],[Superficie]]</f>
        <v>1.0370666666666668</v>
      </c>
      <c r="AE45" s="36" t="e">
        <f>(Tableau1[[#This Row],[2025]]-Tableau1[[#This Row],[2024]])/Tableau1[[#This Row],[2024]]</f>
        <v>#DIV/0!</v>
      </c>
      <c r="AF45" s="36" t="e">
        <f>(Tableau1[[#This Row],[2025]]-Tableau1[[#This Row],[Cotisation de base TTC]])/Tableau1[[#This Row],[Cotisation de base TTC]]</f>
        <v>#DIV/0!</v>
      </c>
      <c r="AG45" s="36"/>
      <c r="AH45" s="36"/>
      <c r="AI45" s="40">
        <v>1183.5</v>
      </c>
      <c r="AJ45" s="36">
        <v>1154</v>
      </c>
      <c r="AK45" s="36">
        <f>AJ45/Tableau1[[#This Row],[Superficie]]</f>
        <v>1.0990476190476191</v>
      </c>
      <c r="AL45" s="42" t="e">
        <f>(AJ45-Tableau1[[#This Row],[2025]])/Tableau1[[#This Row],[Cotisation de base TTC]]</f>
        <v>#DIV/0!</v>
      </c>
      <c r="AM45" s="42" t="e">
        <f>(AJ45-Tableau1[[#This Row],[Cotisation de base TTC]])/Tableau1[[#This Row],[Cotisation de base TTC]]</f>
        <v>#DIV/0!</v>
      </c>
      <c r="AN45" s="36"/>
      <c r="AO45" s="36"/>
    </row>
    <row r="46" spans="1:41" ht="18" x14ac:dyDescent="0.2">
      <c r="A46" s="14" t="s">
        <v>234</v>
      </c>
      <c r="B46" s="15" t="s">
        <v>261</v>
      </c>
      <c r="C46" s="14" t="s">
        <v>239</v>
      </c>
      <c r="D46" s="14" t="s">
        <v>240</v>
      </c>
      <c r="E46" s="14" t="s">
        <v>45</v>
      </c>
      <c r="F46" s="19" t="s">
        <v>83</v>
      </c>
      <c r="G46" s="5" t="s">
        <v>296</v>
      </c>
      <c r="H46" s="5" t="s">
        <v>85</v>
      </c>
      <c r="I46" s="5" t="s">
        <v>295</v>
      </c>
      <c r="J46" s="5" t="s">
        <v>297</v>
      </c>
      <c r="K46" s="5" t="s">
        <v>298</v>
      </c>
      <c r="L46" s="20">
        <v>1419.08</v>
      </c>
      <c r="M46" s="20">
        <f>Tableau1[[#This Row],[Cotisation de base TTC]]/Tableau1[[#This Row],[Superficie]]</f>
        <v>1.5767555555555555</v>
      </c>
      <c r="N46" s="20"/>
      <c r="O46" s="20"/>
      <c r="P46" s="20"/>
      <c r="Q46" s="32"/>
      <c r="R46" s="24"/>
      <c r="S46" s="29"/>
      <c r="T46" s="101"/>
      <c r="U46" s="5"/>
      <c r="V46" s="20"/>
      <c r="W46" s="40">
        <v>1153.7</v>
      </c>
      <c r="X46" s="114">
        <v>1124.93</v>
      </c>
      <c r="Y46" s="36"/>
      <c r="Z46" s="36"/>
      <c r="AA46" s="36"/>
      <c r="AB46" s="40">
        <v>1174.5999999999999</v>
      </c>
      <c r="AC46" s="36">
        <v>1533.64</v>
      </c>
      <c r="AD46" s="36"/>
      <c r="AE46" s="36">
        <f>(Tableau1[[#This Row],[2025]]-Tableau1[[#This Row],[2024]])/Tableau1[[#This Row],[2024]]</f>
        <v>0.36332038437947251</v>
      </c>
      <c r="AF46" s="36">
        <f>(Tableau1[[#This Row],[2025]]-Tableau1[[#This Row],[Cotisation de base TTC]])/Tableau1[[#This Row],[Cotisation de base TTC]]</f>
        <v>8.0728359218648835E-2</v>
      </c>
      <c r="AG46" s="36"/>
      <c r="AH46" s="36"/>
      <c r="AI46" s="40">
        <v>1183.5</v>
      </c>
      <c r="AJ46" s="36">
        <v>1627.07</v>
      </c>
      <c r="AK46" s="36">
        <f>AJ46/Tableau1[[#This Row],[Superficie]]</f>
        <v>1.8078555555555555</v>
      </c>
      <c r="AL46" s="42">
        <f>(AJ46-Tableau1[[#This Row],[2025]])/Tableau1[[#This Row],[Cotisation de base TTC]]</f>
        <v>6.583843053245754E-2</v>
      </c>
      <c r="AM46" s="42">
        <f>(AJ46-Tableau1[[#This Row],[Cotisation de base TTC]])/Tableau1[[#This Row],[Cotisation de base TTC]]</f>
        <v>0.14656678975110637</v>
      </c>
      <c r="AN46" s="36"/>
      <c r="AO46" s="36"/>
    </row>
    <row r="47" spans="1:41" ht="18" x14ac:dyDescent="0.2">
      <c r="A47" s="14" t="s">
        <v>235</v>
      </c>
      <c r="B47" s="15" t="s">
        <v>36</v>
      </c>
      <c r="C47" s="14" t="s">
        <v>241</v>
      </c>
      <c r="D47" s="14" t="s">
        <v>72</v>
      </c>
      <c r="E47" s="14" t="s">
        <v>134</v>
      </c>
      <c r="F47" s="19" t="s">
        <v>83</v>
      </c>
      <c r="G47" s="5" t="s">
        <v>299</v>
      </c>
      <c r="H47" s="5" t="s">
        <v>85</v>
      </c>
      <c r="I47" s="5" t="s">
        <v>242</v>
      </c>
      <c r="J47" s="5" t="s">
        <v>300</v>
      </c>
      <c r="K47" s="5" t="s">
        <v>301</v>
      </c>
      <c r="L47" s="20">
        <v>2143.89</v>
      </c>
      <c r="M47" s="20">
        <f>Tableau1[[#This Row],[Cotisation de base TTC]]/Tableau1[[#This Row],[Superficie]]</f>
        <v>0.74183044982698954</v>
      </c>
      <c r="N47" s="20"/>
      <c r="O47" s="20"/>
      <c r="P47" s="20"/>
      <c r="Q47" s="32"/>
      <c r="R47" s="24"/>
      <c r="S47" s="29"/>
      <c r="T47" s="101"/>
      <c r="U47" s="5"/>
      <c r="V47" s="20"/>
      <c r="W47" s="40">
        <v>1152.5999999999999</v>
      </c>
      <c r="X47" s="100">
        <v>1341.18</v>
      </c>
      <c r="Y47" s="36"/>
      <c r="Z47" s="36"/>
      <c r="AA47" s="36"/>
      <c r="AB47" s="40">
        <v>1174.5999999999999</v>
      </c>
      <c r="AC47" s="36">
        <v>2321.67</v>
      </c>
      <c r="AD47" s="36"/>
      <c r="AE47" s="36">
        <f>(Tableau1[[#This Row],[2025]]-Tableau1[[#This Row],[2024]])/Tableau1[[#This Row],[2024]]</f>
        <v>0.73106518140741727</v>
      </c>
      <c r="AF47" s="36">
        <f>(Tableau1[[#This Row],[2025]]-Tableau1[[#This Row],[Cotisation de base TTC]])/Tableau1[[#This Row],[Cotisation de base TTC]]</f>
        <v>8.2924030617242586E-2</v>
      </c>
      <c r="AG47" s="36"/>
      <c r="AH47" s="36"/>
      <c r="AI47" s="40">
        <v>1183.5</v>
      </c>
      <c r="AJ47" s="36">
        <v>2465.25</v>
      </c>
      <c r="AK47" s="36">
        <f>AJ47/Tableau1[[#This Row],[Superficie]]</f>
        <v>0.85302768166089971</v>
      </c>
      <c r="AL47" s="42">
        <f>(AJ47-Tableau1[[#This Row],[2025]])/Tableau1[[#This Row],[Cotisation de base TTC]]</f>
        <v>6.6971719631137766E-2</v>
      </c>
      <c r="AM47" s="42">
        <f>(AJ47-Tableau1[[#This Row],[Cotisation de base TTC]])/Tableau1[[#This Row],[Cotisation de base TTC]]</f>
        <v>0.14989575024838034</v>
      </c>
      <c r="AN47" s="36"/>
      <c r="AO47" s="36"/>
    </row>
    <row r="48" spans="1:41" ht="18" x14ac:dyDescent="0.2">
      <c r="A48" s="14" t="s">
        <v>250</v>
      </c>
      <c r="B48" s="15" t="s">
        <v>262</v>
      </c>
      <c r="C48" s="14" t="s">
        <v>273</v>
      </c>
      <c r="D48" s="14" t="s">
        <v>274</v>
      </c>
      <c r="E48" s="33">
        <v>26</v>
      </c>
      <c r="F48" s="19" t="s">
        <v>83</v>
      </c>
      <c r="G48" s="5" t="s">
        <v>302</v>
      </c>
      <c r="H48" s="5" t="s">
        <v>85</v>
      </c>
      <c r="I48" s="5" t="s">
        <v>303</v>
      </c>
      <c r="J48" s="5" t="s">
        <v>304</v>
      </c>
      <c r="K48" s="5" t="s">
        <v>294</v>
      </c>
      <c r="L48" s="20">
        <v>2587.73</v>
      </c>
      <c r="M48" s="20">
        <f>Tableau1[[#This Row],[Cotisation de base TTC]]/Tableau1[[#This Row],[Superficie]]</f>
        <v>0.89232068965517242</v>
      </c>
      <c r="N48" s="20"/>
      <c r="O48" s="20"/>
      <c r="P48" s="20"/>
      <c r="Q48" s="32"/>
      <c r="R48" s="24"/>
      <c r="S48" s="29"/>
      <c r="T48" s="101"/>
      <c r="U48" s="5"/>
      <c r="V48" s="20"/>
      <c r="W48" s="40">
        <v>1171.8</v>
      </c>
      <c r="X48" s="100">
        <v>1309.83</v>
      </c>
      <c r="Y48" s="36"/>
      <c r="Z48" s="36"/>
      <c r="AA48" s="36"/>
      <c r="AB48" s="40">
        <v>1174.5999999999999</v>
      </c>
      <c r="AC48" s="110">
        <v>2757.85</v>
      </c>
      <c r="AD48" s="110">
        <f>Tableau1[[#This Row],[2025]]/Tableau1[[#This Row],[Superficie]]</f>
        <v>0.95098275862068959</v>
      </c>
      <c r="AE48" s="111"/>
      <c r="AF48" s="111">
        <f>(Tableau1[[#This Row],[2025]]-Tableau1[[#This Row],[Cotisation de base TTC]])/Tableau1[[#This Row],[Cotisation de base TTC]]</f>
        <v>6.5741016257492041E-2</v>
      </c>
      <c r="AG48" s="110"/>
      <c r="AH48" s="110"/>
      <c r="AI48" s="40">
        <v>1183.5</v>
      </c>
      <c r="AJ48" s="110">
        <v>2929.2</v>
      </c>
      <c r="AK48" s="36">
        <f>AJ48/Tableau1[[#This Row],[Superficie]]</f>
        <v>1.0100689655172412</v>
      </c>
      <c r="AL48" s="42">
        <f>(AJ48-Tableau1[[#This Row],[2025]])/Tableau1[[#This Row],[Cotisation de base TTC]]</f>
        <v>6.6216336325659902E-2</v>
      </c>
      <c r="AM48" s="42">
        <f>(AJ48-Tableau1[[#This Row],[Cotisation de base TTC]])/Tableau1[[#This Row],[Cotisation de base TTC]]</f>
        <v>0.13195735258315194</v>
      </c>
      <c r="AN48" s="110"/>
      <c r="AO48" s="110"/>
    </row>
    <row r="49" spans="1:41" ht="18" x14ac:dyDescent="0.2">
      <c r="A49" s="14" t="s">
        <v>251</v>
      </c>
      <c r="B49" s="15" t="s">
        <v>263</v>
      </c>
      <c r="C49" s="14" t="s">
        <v>275</v>
      </c>
      <c r="D49" s="14" t="s">
        <v>276</v>
      </c>
      <c r="E49" s="33">
        <v>6</v>
      </c>
      <c r="F49" s="19" t="s">
        <v>83</v>
      </c>
      <c r="G49" s="5" t="s">
        <v>305</v>
      </c>
      <c r="H49" s="5" t="s">
        <v>85</v>
      </c>
      <c r="I49" s="5" t="s">
        <v>306</v>
      </c>
      <c r="J49" s="5" t="s">
        <v>307</v>
      </c>
      <c r="K49" s="5" t="s">
        <v>294</v>
      </c>
      <c r="L49" s="20">
        <v>1278.53</v>
      </c>
      <c r="M49" s="20">
        <f>Tableau1[[#This Row],[Cotisation de base TTC]]/Tableau1[[#This Row],[Superficie]]</f>
        <v>0.8523533333333333</v>
      </c>
      <c r="N49" s="20"/>
      <c r="O49" s="20"/>
      <c r="P49" s="20"/>
      <c r="Q49" s="32"/>
      <c r="R49" s="24"/>
      <c r="S49" s="29"/>
      <c r="T49" s="101"/>
      <c r="U49" s="5"/>
      <c r="V49" s="20"/>
      <c r="W49" s="40">
        <v>1171.8</v>
      </c>
      <c r="X49" s="100">
        <v>601.13</v>
      </c>
      <c r="Y49" s="36"/>
      <c r="Z49" s="36"/>
      <c r="AA49" s="36"/>
      <c r="AB49" s="40">
        <v>1174.5999999999999</v>
      </c>
      <c r="AC49" s="110">
        <v>1360.34</v>
      </c>
      <c r="AD49" s="110">
        <f>Tableau1[[#This Row],[2025]]/Tableau1[[#This Row],[Superficie]]</f>
        <v>0.90689333333333333</v>
      </c>
      <c r="AE49" s="111"/>
      <c r="AF49" s="111">
        <f>(Tableau1[[#This Row],[2025]]-Tableau1[[#This Row],[Cotisation de base TTC]])/Tableau1[[#This Row],[Cotisation de base TTC]]</f>
        <v>6.3987548199885766E-2</v>
      </c>
      <c r="AG49" s="110"/>
      <c r="AH49" s="110"/>
      <c r="AI49" s="40">
        <v>1183.5</v>
      </c>
      <c r="AJ49" s="110">
        <v>1442.66</v>
      </c>
      <c r="AK49" s="36">
        <f>AJ49/Tableau1[[#This Row],[Superficie]]</f>
        <v>0.96177333333333337</v>
      </c>
      <c r="AL49" s="42">
        <f>(AJ49-Tableau1[[#This Row],[2025]])/Tableau1[[#This Row],[Cotisation de base TTC]]</f>
        <v>6.4386443806559224E-2</v>
      </c>
      <c r="AM49" s="42">
        <f>(AJ49-Tableau1[[#This Row],[Cotisation de base TTC]])/Tableau1[[#This Row],[Cotisation de base TTC]]</f>
        <v>0.128373992006445</v>
      </c>
      <c r="AN49" s="110"/>
      <c r="AO49" s="110"/>
    </row>
    <row r="50" spans="1:41" ht="18" x14ac:dyDescent="0.2">
      <c r="A50" s="14" t="s">
        <v>252</v>
      </c>
      <c r="B50" s="15" t="s">
        <v>264</v>
      </c>
      <c r="C50" s="14" t="s">
        <v>277</v>
      </c>
      <c r="D50" s="14" t="s">
        <v>278</v>
      </c>
      <c r="E50" s="33">
        <v>2</v>
      </c>
      <c r="F50" s="19" t="s">
        <v>83</v>
      </c>
      <c r="G50" s="5" t="s">
        <v>308</v>
      </c>
      <c r="H50" s="5" t="s">
        <v>85</v>
      </c>
      <c r="I50" s="5" t="s">
        <v>309</v>
      </c>
      <c r="J50" s="5" t="s">
        <v>310</v>
      </c>
      <c r="K50" s="5" t="s">
        <v>294</v>
      </c>
      <c r="L50" s="20">
        <v>612.25</v>
      </c>
      <c r="M50" s="20">
        <f>Tableau1[[#This Row],[Cotisation de base TTC]]/Tableau1[[#This Row],[Superficie]]</f>
        <v>4.1090604026845634</v>
      </c>
      <c r="N50" s="20"/>
      <c r="O50" s="20"/>
      <c r="P50" s="20"/>
      <c r="Q50" s="32"/>
      <c r="R50" s="24"/>
      <c r="S50" s="29"/>
      <c r="T50" s="101"/>
      <c r="U50" s="5"/>
      <c r="V50" s="20"/>
      <c r="W50" s="40">
        <v>1171.8</v>
      </c>
      <c r="X50" s="100">
        <v>211.52</v>
      </c>
      <c r="Y50" s="36"/>
      <c r="Z50" s="36"/>
      <c r="AA50" s="36"/>
      <c r="AB50" s="40">
        <v>1174.5999999999999</v>
      </c>
      <c r="AC50" s="110">
        <v>649.05999999999995</v>
      </c>
      <c r="AD50" s="110">
        <f>Tableau1[[#This Row],[2025]]/Tableau1[[#This Row],[Superficie]]</f>
        <v>4.3561073825503351</v>
      </c>
      <c r="AE50" s="111"/>
      <c r="AF50" s="111">
        <f>(Tableau1[[#This Row],[2025]]-Tableau1[[#This Row],[Cotisation de base TTC]])/Tableau1[[#This Row],[Cotisation de base TTC]]</f>
        <v>6.0122498979175085E-2</v>
      </c>
      <c r="AG50" s="110"/>
      <c r="AH50" s="110"/>
      <c r="AI50" s="40">
        <v>1183.5</v>
      </c>
      <c r="AJ50" s="110">
        <v>698.49</v>
      </c>
      <c r="AK50" s="36">
        <f>AJ50/Tableau1[[#This Row],[Superficie]]</f>
        <v>4.6878523489932888</v>
      </c>
      <c r="AL50" s="42">
        <f>(AJ50-Tableau1[[#This Row],[2025]])/Tableau1[[#This Row],[Cotisation de base TTC]]</f>
        <v>8.0734993875051148E-2</v>
      </c>
      <c r="AM50" s="42">
        <f>(AJ50-Tableau1[[#This Row],[Cotisation de base TTC]])/Tableau1[[#This Row],[Cotisation de base TTC]]</f>
        <v>0.14085749285422622</v>
      </c>
      <c r="AN50" s="110"/>
      <c r="AO50" s="110"/>
    </row>
    <row r="51" spans="1:41" ht="18" x14ac:dyDescent="0.2">
      <c r="A51" s="14" t="s">
        <v>253</v>
      </c>
      <c r="B51" s="15" t="s">
        <v>265</v>
      </c>
      <c r="C51" s="106" t="s">
        <v>279</v>
      </c>
      <c r="D51" s="106" t="s">
        <v>280</v>
      </c>
      <c r="E51" s="33">
        <v>20</v>
      </c>
      <c r="F51" s="19" t="s">
        <v>83</v>
      </c>
      <c r="G51" s="5" t="s">
        <v>311</v>
      </c>
      <c r="H51" s="5" t="s">
        <v>85</v>
      </c>
      <c r="I51" s="5" t="s">
        <v>312</v>
      </c>
      <c r="J51" s="5" t="s">
        <v>313</v>
      </c>
      <c r="K51" s="5" t="s">
        <v>294</v>
      </c>
      <c r="L51" s="20">
        <v>2449.98</v>
      </c>
      <c r="M51" s="20">
        <f>Tableau1[[#This Row],[Cotisation de base TTC]]/Tableau1[[#This Row],[Superficie]]</f>
        <v>1.2727168831168831</v>
      </c>
      <c r="N51" s="20"/>
      <c r="O51" s="20"/>
      <c r="P51" s="20"/>
      <c r="Q51" s="32"/>
      <c r="R51" s="24"/>
      <c r="S51" s="29"/>
      <c r="T51" s="101"/>
      <c r="U51" s="5"/>
      <c r="V51" s="20"/>
      <c r="W51" s="40">
        <v>1171.8</v>
      </c>
      <c r="X51" s="100">
        <v>673.79</v>
      </c>
      <c r="Y51" s="36"/>
      <c r="Z51" s="36"/>
      <c r="AA51" s="36"/>
      <c r="AB51" s="40">
        <v>1174.5999999999999</v>
      </c>
      <c r="AC51" s="110">
        <v>2610.81</v>
      </c>
      <c r="AD51" s="110">
        <f>Tableau1[[#This Row],[2025]]/Tableau1[[#This Row],[Superficie]]</f>
        <v>1.356264935064935</v>
      </c>
      <c r="AE51" s="111"/>
      <c r="AF51" s="111">
        <f>(Tableau1[[#This Row],[2025]]-Tableau1[[#This Row],[Cotisation de base TTC]])/Tableau1[[#This Row],[Cotisation de base TTC]]</f>
        <v>6.5645433840276213E-2</v>
      </c>
      <c r="AG51" s="110"/>
      <c r="AH51" s="110"/>
      <c r="AI51" s="40">
        <v>1183.5</v>
      </c>
      <c r="AJ51" s="110">
        <v>2772.79</v>
      </c>
      <c r="AK51" s="36">
        <f>AJ51/Tableau1[[#This Row],[Superficie]]</f>
        <v>1.4404103896103897</v>
      </c>
      <c r="AL51" s="42">
        <f>(AJ51-Tableau1[[#This Row],[2025]])/Tableau1[[#This Row],[Cotisation de base TTC]]</f>
        <v>6.6114825427146348E-2</v>
      </c>
      <c r="AM51" s="42">
        <f>(AJ51-Tableau1[[#This Row],[Cotisation de base TTC]])/Tableau1[[#This Row],[Cotisation de base TTC]]</f>
        <v>0.13176025926742257</v>
      </c>
      <c r="AN51" s="110"/>
      <c r="AO51" s="110"/>
    </row>
    <row r="52" spans="1:41" ht="18" x14ac:dyDescent="0.2">
      <c r="A52" s="14" t="s">
        <v>254</v>
      </c>
      <c r="B52" s="15" t="s">
        <v>266</v>
      </c>
      <c r="C52" s="14" t="s">
        <v>281</v>
      </c>
      <c r="D52" s="14" t="s">
        <v>280</v>
      </c>
      <c r="E52" s="33">
        <v>8</v>
      </c>
      <c r="F52" s="19" t="s">
        <v>83</v>
      </c>
      <c r="G52" s="5" t="s">
        <v>314</v>
      </c>
      <c r="H52" s="5" t="s">
        <v>85</v>
      </c>
      <c r="I52" s="5" t="s">
        <v>315</v>
      </c>
      <c r="J52" s="5" t="s">
        <v>316</v>
      </c>
      <c r="K52" s="5" t="s">
        <v>317</v>
      </c>
      <c r="L52" s="20">
        <v>1604.95</v>
      </c>
      <c r="M52" s="20">
        <f>Tableau1[[#This Row],[Cotisation de base TTC]]/Tableau1[[#This Row],[Superficie]]</f>
        <v>1.0106738035264484</v>
      </c>
      <c r="N52" s="20"/>
      <c r="O52" s="20"/>
      <c r="P52" s="20"/>
      <c r="Q52" s="32"/>
      <c r="R52" s="24"/>
      <c r="S52" s="29"/>
      <c r="T52" s="101"/>
      <c r="U52" s="5"/>
      <c r="V52" s="20"/>
      <c r="W52" s="40">
        <v>1172.2</v>
      </c>
      <c r="X52" s="100">
        <v>454.26</v>
      </c>
      <c r="Y52" s="36"/>
      <c r="Z52" s="36"/>
      <c r="AA52" s="36"/>
      <c r="AB52" s="40">
        <v>1174.5999999999999</v>
      </c>
      <c r="AC52" s="110">
        <v>1708.21</v>
      </c>
      <c r="AD52" s="110">
        <f>Tableau1[[#This Row],[2025]]/Tableau1[[#This Row],[Superficie]]</f>
        <v>1.0756989924433249</v>
      </c>
      <c r="AE52" s="111"/>
      <c r="AF52" s="111">
        <f>(Tableau1[[#This Row],[2025]]-Tableau1[[#This Row],[Cotisation de base TTC]])/Tableau1[[#This Row],[Cotisation de base TTC]]</f>
        <v>6.4338452911305646E-2</v>
      </c>
      <c r="AG52" s="110"/>
      <c r="AH52" s="110"/>
      <c r="AI52" s="40">
        <v>1183.5</v>
      </c>
      <c r="AJ52" s="110">
        <v>1812.73</v>
      </c>
      <c r="AK52" s="36">
        <f>AJ52/Tableau1[[#This Row],[Superficie]]</f>
        <v>1.1415176322418137</v>
      </c>
      <c r="AL52" s="42">
        <f>(AJ52-Tableau1[[#This Row],[2025]])/Tableau1[[#This Row],[Cotisation de base TTC]]</f>
        <v>6.5123524097323887E-2</v>
      </c>
      <c r="AM52" s="42">
        <f>(AJ52-Tableau1[[#This Row],[Cotisation de base TTC]])/Tableau1[[#This Row],[Cotisation de base TTC]]</f>
        <v>0.12946197700862952</v>
      </c>
      <c r="AN52" s="110"/>
      <c r="AO52" s="110"/>
    </row>
    <row r="53" spans="1:41" ht="18" x14ac:dyDescent="0.2">
      <c r="A53" s="14" t="s">
        <v>255</v>
      </c>
      <c r="B53" s="15" t="s">
        <v>267</v>
      </c>
      <c r="C53" s="14" t="s">
        <v>282</v>
      </c>
      <c r="D53" s="14" t="s">
        <v>283</v>
      </c>
      <c r="E53" s="33">
        <v>2</v>
      </c>
      <c r="F53" s="19" t="s">
        <v>83</v>
      </c>
      <c r="G53" s="5" t="s">
        <v>291</v>
      </c>
      <c r="H53" s="5" t="s">
        <v>85</v>
      </c>
      <c r="I53" s="5" t="s">
        <v>292</v>
      </c>
      <c r="J53" s="5" t="s">
        <v>293</v>
      </c>
      <c r="K53" s="5" t="s">
        <v>294</v>
      </c>
      <c r="L53" s="20">
        <v>544.07000000000005</v>
      </c>
      <c r="M53" s="20">
        <f>Tableau1[[#This Row],[Cotisation de base TTC]]/Tableau1[[#This Row],[Superficie]]</f>
        <v>3.4004375000000002</v>
      </c>
      <c r="N53" s="20"/>
      <c r="O53" s="20"/>
      <c r="P53" s="20"/>
      <c r="Q53" s="32"/>
      <c r="R53" s="24"/>
      <c r="S53" s="29"/>
      <c r="T53" s="101"/>
      <c r="U53" s="5"/>
      <c r="V53" s="20"/>
      <c r="W53" s="40">
        <v>1171.8</v>
      </c>
      <c r="X53" s="100">
        <v>210.4</v>
      </c>
      <c r="Y53" s="36"/>
      <c r="Z53" s="36"/>
      <c r="AA53" s="36"/>
      <c r="AB53" s="40">
        <v>1174.5999999999999</v>
      </c>
      <c r="AC53" s="110">
        <v>576.25</v>
      </c>
      <c r="AD53" s="110">
        <f>Tableau1[[#This Row],[2025]]/Tableau1[[#This Row],[Superficie]]</f>
        <v>3.6015625</v>
      </c>
      <c r="AE53" s="111"/>
      <c r="AF53" s="111">
        <f>(Tableau1[[#This Row],[2025]]-Tableau1[[#This Row],[Cotisation de base TTC]])/Tableau1[[#This Row],[Cotisation de base TTC]]</f>
        <v>5.9146800963111264E-2</v>
      </c>
      <c r="AG53" s="110"/>
      <c r="AH53" s="110"/>
      <c r="AI53" s="40">
        <v>1183.5</v>
      </c>
      <c r="AJ53" s="110"/>
      <c r="AK53" s="36">
        <f>AJ53/Tableau1[[#This Row],[Superficie]]</f>
        <v>0</v>
      </c>
      <c r="AL53" s="42">
        <f>(AJ53-Tableau1[[#This Row],[2025]])/Tableau1[[#This Row],[Cotisation de base TTC]]</f>
        <v>-1.0591468009631113</v>
      </c>
      <c r="AM53" s="42">
        <f>(AJ53-Tableau1[[#This Row],[Cotisation de base TTC]])/Tableau1[[#This Row],[Cotisation de base TTC]]</f>
        <v>-1</v>
      </c>
      <c r="AN53" s="110"/>
      <c r="AO53" s="110"/>
    </row>
    <row r="54" spans="1:41" ht="18" x14ac:dyDescent="0.2">
      <c r="A54" s="14" t="s">
        <v>256</v>
      </c>
      <c r="B54" s="15" t="s">
        <v>268</v>
      </c>
      <c r="C54" s="14" t="s">
        <v>284</v>
      </c>
      <c r="D54" s="14" t="s">
        <v>285</v>
      </c>
      <c r="E54" s="33">
        <v>6</v>
      </c>
      <c r="F54" s="19" t="s">
        <v>83</v>
      </c>
      <c r="G54" s="5" t="s">
        <v>318</v>
      </c>
      <c r="H54" s="5" t="s">
        <v>85</v>
      </c>
      <c r="I54" s="5" t="s">
        <v>319</v>
      </c>
      <c r="J54" s="5" t="s">
        <v>320</v>
      </c>
      <c r="K54" s="5" t="s">
        <v>321</v>
      </c>
      <c r="L54" s="20">
        <v>2496.13</v>
      </c>
      <c r="M54" s="20">
        <f>Tableau1[[#This Row],[Cotisation de base TTC]]/Tableau1[[#This Row],[Superficie]]</f>
        <v>1.9905342902711325</v>
      </c>
      <c r="N54" s="20"/>
      <c r="O54" s="20"/>
      <c r="P54" s="20"/>
      <c r="Q54" s="32"/>
      <c r="R54" s="24"/>
      <c r="S54" s="29"/>
      <c r="T54" s="101"/>
      <c r="U54" s="5"/>
      <c r="V54" s="20"/>
      <c r="W54" s="40"/>
      <c r="X54" s="36"/>
      <c r="Y54" s="36"/>
      <c r="Z54" s="36"/>
      <c r="AA54" s="36"/>
      <c r="AB54" s="40">
        <v>1172.2</v>
      </c>
      <c r="AC54" s="115">
        <v>2722.45</v>
      </c>
      <c r="AD54" s="110" t="s">
        <v>322</v>
      </c>
      <c r="AE54" s="124"/>
      <c r="AF54" s="124"/>
      <c r="AG54" s="125"/>
      <c r="AH54" s="125"/>
      <c r="AI54" s="40">
        <v>1183.5</v>
      </c>
      <c r="AJ54" s="110">
        <v>2767.75</v>
      </c>
      <c r="AK54" s="36">
        <f>AJ54/Tableau1[[#This Row],[Superficie]]</f>
        <v>2.2071371610845296</v>
      </c>
      <c r="AL54" s="42"/>
      <c r="AM54" s="42">
        <f>(AJ54-Tableau1[[#This Row],[Cotisation de base TTC]])/Tableau1[[#This Row],[Cotisation de base TTC]]</f>
        <v>0.10881644786128923</v>
      </c>
      <c r="AN54" s="125"/>
      <c r="AO54" s="125"/>
    </row>
    <row r="55" spans="1:41" s="60" customFormat="1" ht="20.25" x14ac:dyDescent="0.2">
      <c r="A55" s="47" t="s">
        <v>257</v>
      </c>
      <c r="B55" s="48" t="s">
        <v>269</v>
      </c>
      <c r="C55" s="47" t="s">
        <v>286</v>
      </c>
      <c r="D55" s="47" t="s">
        <v>285</v>
      </c>
      <c r="E55" s="107">
        <v>13</v>
      </c>
      <c r="F55" s="57" t="s">
        <v>83</v>
      </c>
      <c r="G55" s="49"/>
      <c r="H55" s="5" t="s">
        <v>85</v>
      </c>
      <c r="I55" s="49"/>
      <c r="J55" s="49"/>
      <c r="K55" s="49"/>
      <c r="L55" s="21"/>
      <c r="M55" s="21" t="e">
        <f>Tableau1[[#This Row],[Cotisation de base TTC]]/Tableau1[[#This Row],[Superficie]]</f>
        <v>#DIV/0!</v>
      </c>
      <c r="N55" s="21"/>
      <c r="O55" s="21"/>
      <c r="P55" s="21"/>
      <c r="Q55" s="58"/>
      <c r="R55" s="51"/>
      <c r="S55" s="52"/>
      <c r="T55" s="59"/>
      <c r="U55" s="49"/>
      <c r="V55" s="21"/>
      <c r="W55" s="54"/>
      <c r="X55" s="55"/>
      <c r="Y55" s="55"/>
      <c r="Z55" s="55"/>
      <c r="AA55" s="55"/>
      <c r="AB55" s="40"/>
      <c r="AC55" s="108"/>
      <c r="AD55" s="126"/>
      <c r="AE55" s="127"/>
      <c r="AF55" s="127"/>
      <c r="AG55" s="126"/>
      <c r="AH55" s="126"/>
      <c r="AI55" s="40"/>
      <c r="AJ55" s="126">
        <v>146.59</v>
      </c>
      <c r="AK55" s="36" t="e">
        <f>AJ55/Tableau1[[#This Row],[Superficie]]</f>
        <v>#DIV/0!</v>
      </c>
      <c r="AL55" s="42"/>
      <c r="AM55" s="42" t="e">
        <f>(AJ55-Tableau1[[#This Row],[Cotisation de base TTC]])/Tableau1[[#This Row],[Cotisation de base TTC]]</f>
        <v>#DIV/0!</v>
      </c>
      <c r="AN55" s="126"/>
      <c r="AO55" s="126"/>
    </row>
    <row r="56" spans="1:41" ht="18" x14ac:dyDescent="0.2">
      <c r="A56" s="14" t="s">
        <v>258</v>
      </c>
      <c r="B56" s="15" t="s">
        <v>270</v>
      </c>
      <c r="C56" s="105" t="s">
        <v>287</v>
      </c>
      <c r="D56" s="105" t="s">
        <v>278</v>
      </c>
      <c r="E56" s="33">
        <v>2</v>
      </c>
      <c r="F56" s="19" t="s">
        <v>83</v>
      </c>
      <c r="G56" s="5" t="s">
        <v>327</v>
      </c>
      <c r="H56" s="5" t="s">
        <v>85</v>
      </c>
      <c r="I56" s="5" t="s">
        <v>326</v>
      </c>
      <c r="J56" s="5" t="s">
        <v>36</v>
      </c>
      <c r="K56" s="5" t="s">
        <v>321</v>
      </c>
      <c r="L56" s="20">
        <v>544.07000000000005</v>
      </c>
      <c r="M56" s="20">
        <f>Tableau1[[#This Row],[Cotisation de base TTC]]/Tableau1[[#This Row],[Superficie]]</f>
        <v>2.7203500000000003</v>
      </c>
      <c r="N56" s="20"/>
      <c r="O56" s="20"/>
      <c r="P56" s="20"/>
      <c r="Q56" s="32"/>
      <c r="R56" s="24"/>
      <c r="S56" s="29"/>
      <c r="T56" s="101"/>
      <c r="U56" s="5"/>
      <c r="V56" s="20"/>
      <c r="W56" s="40"/>
      <c r="X56" s="36"/>
      <c r="Y56" s="36"/>
      <c r="Z56" s="36"/>
      <c r="AA56" s="36"/>
      <c r="AB56" s="40">
        <v>1172.2</v>
      </c>
      <c r="AC56" s="115">
        <v>578.08000000000004</v>
      </c>
      <c r="AD56" s="110" t="s">
        <v>322</v>
      </c>
      <c r="AE56" s="124"/>
      <c r="AF56" s="124"/>
      <c r="AG56" s="125"/>
      <c r="AH56" s="125"/>
      <c r="AI56" s="40">
        <v>1183.5</v>
      </c>
      <c r="AJ56" s="110">
        <v>619.33000000000004</v>
      </c>
      <c r="AK56" s="36">
        <f>AJ56/Tableau1[[#This Row],[Superficie]]</f>
        <v>3.0966500000000003</v>
      </c>
      <c r="AL56" s="42"/>
      <c r="AM56" s="42">
        <f>(AJ56-Tableau1[[#This Row],[Cotisation de base TTC]])/Tableau1[[#This Row],[Cotisation de base TTC]]</f>
        <v>0.13832778870365942</v>
      </c>
      <c r="AN56" s="125"/>
      <c r="AO56" s="125"/>
    </row>
    <row r="57" spans="1:41" s="60" customFormat="1" ht="20.25" x14ac:dyDescent="0.2">
      <c r="A57" s="47" t="s">
        <v>259</v>
      </c>
      <c r="B57" s="48" t="s">
        <v>271</v>
      </c>
      <c r="C57" s="109" t="s">
        <v>288</v>
      </c>
      <c r="D57" s="109" t="s">
        <v>280</v>
      </c>
      <c r="E57" s="107">
        <v>11</v>
      </c>
      <c r="F57" s="57" t="s">
        <v>83</v>
      </c>
      <c r="G57" s="49"/>
      <c r="H57" s="5" t="s">
        <v>85</v>
      </c>
      <c r="I57" s="49"/>
      <c r="J57" s="49"/>
      <c r="K57" s="49"/>
      <c r="L57" s="21"/>
      <c r="M57" s="21" t="e">
        <f>Tableau1[[#This Row],[Cotisation de base TTC]]/Tableau1[[#This Row],[Superficie]]</f>
        <v>#DIV/0!</v>
      </c>
      <c r="N57" s="21"/>
      <c r="O57" s="21"/>
      <c r="P57" s="21"/>
      <c r="Q57" s="58"/>
      <c r="R57" s="51"/>
      <c r="S57" s="52"/>
      <c r="T57" s="59"/>
      <c r="U57" s="49"/>
      <c r="V57" s="21"/>
      <c r="W57" s="54"/>
      <c r="X57" s="55"/>
      <c r="Y57" s="55"/>
      <c r="Z57" s="55"/>
      <c r="AA57" s="55"/>
      <c r="AB57" s="40"/>
      <c r="AC57" s="108"/>
      <c r="AD57" s="126"/>
      <c r="AE57" s="127"/>
      <c r="AF57" s="127"/>
      <c r="AG57" s="126"/>
      <c r="AH57" s="126"/>
      <c r="AI57" s="40"/>
      <c r="AJ57" s="126">
        <v>142.43</v>
      </c>
      <c r="AK57" s="36" t="e">
        <f>AJ57/Tableau1[[#This Row],[Superficie]]</f>
        <v>#DIV/0!</v>
      </c>
      <c r="AL57" s="42"/>
      <c r="AM57" s="42" t="e">
        <f>(AJ57-Tableau1[[#This Row],[Cotisation de base TTC]])/Tableau1[[#This Row],[Cotisation de base TTC]]</f>
        <v>#DIV/0!</v>
      </c>
      <c r="AN57" s="126"/>
      <c r="AO57" s="126"/>
    </row>
    <row r="58" spans="1:41" ht="18" x14ac:dyDescent="0.2">
      <c r="A58" s="14" t="s">
        <v>260</v>
      </c>
      <c r="B58" s="104" t="s">
        <v>272</v>
      </c>
      <c r="C58" s="105" t="s">
        <v>289</v>
      </c>
      <c r="D58" s="105" t="s">
        <v>290</v>
      </c>
      <c r="E58" s="33">
        <v>12</v>
      </c>
      <c r="F58" s="19" t="s">
        <v>83</v>
      </c>
      <c r="G58" s="5" t="s">
        <v>325</v>
      </c>
      <c r="H58" s="5" t="s">
        <v>85</v>
      </c>
      <c r="I58" s="5" t="s">
        <v>328</v>
      </c>
      <c r="J58" s="5" t="s">
        <v>323</v>
      </c>
      <c r="K58" s="5" t="s">
        <v>324</v>
      </c>
      <c r="L58" s="20">
        <v>1460.67</v>
      </c>
      <c r="M58" s="20">
        <f>Tableau1[[#This Row],[Cotisation de base TTC]]/Tableau1[[#This Row],[Superficie]]</f>
        <v>1.0073586206896552</v>
      </c>
      <c r="N58" s="20"/>
      <c r="O58" s="20"/>
      <c r="P58" s="20"/>
      <c r="Q58" s="32"/>
      <c r="R58" s="24"/>
      <c r="S58" s="29"/>
      <c r="T58" s="101"/>
      <c r="U58" s="5"/>
      <c r="V58" s="20"/>
      <c r="W58" s="40"/>
      <c r="X58" s="36"/>
      <c r="Y58" s="36"/>
      <c r="Z58" s="36"/>
      <c r="AA58" s="36"/>
      <c r="AB58" s="40">
        <v>1172.2</v>
      </c>
      <c r="AC58" s="115">
        <v>1458.12</v>
      </c>
      <c r="AD58" s="110" t="s">
        <v>322</v>
      </c>
      <c r="AE58" s="124"/>
      <c r="AF58" s="124"/>
      <c r="AG58" s="125"/>
      <c r="AH58" s="125"/>
      <c r="AI58" s="40">
        <v>1183.5</v>
      </c>
      <c r="AJ58" s="110">
        <v>1523.29</v>
      </c>
      <c r="AK58" s="36">
        <f>AJ58/Tableau1[[#This Row],[Superficie]]</f>
        <v>1.0505448275862068</v>
      </c>
      <c r="AL58" s="42"/>
      <c r="AM58" s="42">
        <f>(AJ58-Tableau1[[#This Row],[Cotisation de base TTC]])/Tableau1[[#This Row],[Cotisation de base TTC]]</f>
        <v>4.2870737401329448E-2</v>
      </c>
      <c r="AN58" s="125"/>
      <c r="AO58" s="125"/>
    </row>
    <row r="59" spans="1:41" ht="18" x14ac:dyDescent="0.2">
      <c r="A59" s="14" t="s">
        <v>329</v>
      </c>
      <c r="B59" s="104" t="s">
        <v>330</v>
      </c>
      <c r="C59" s="116" t="s">
        <v>331</v>
      </c>
      <c r="D59" s="105" t="s">
        <v>278</v>
      </c>
      <c r="E59" s="14" t="s">
        <v>18</v>
      </c>
      <c r="F59" s="5" t="s">
        <v>83</v>
      </c>
      <c r="G59" s="5" t="s">
        <v>332</v>
      </c>
      <c r="H59" s="5" t="s">
        <v>85</v>
      </c>
      <c r="I59" s="5" t="s">
        <v>333</v>
      </c>
      <c r="J59" s="5" t="s">
        <v>36</v>
      </c>
      <c r="K59" s="5" t="s">
        <v>324</v>
      </c>
      <c r="L59" s="20">
        <v>545.98</v>
      </c>
      <c r="M59" s="20">
        <f>Tableau1[[#This Row],[Cotisation de base TTC]]/Tableau1[[#This Row],[Superficie]]</f>
        <v>2.7299000000000002</v>
      </c>
      <c r="N59" s="20"/>
      <c r="O59" s="20"/>
      <c r="P59" s="20"/>
      <c r="Q59" s="32"/>
      <c r="R59" s="24"/>
      <c r="S59" s="29"/>
      <c r="T59" s="101"/>
      <c r="U59" s="5"/>
      <c r="V59" s="20"/>
      <c r="W59" s="36"/>
      <c r="X59" s="36"/>
      <c r="Y59" s="36"/>
      <c r="Z59" s="36"/>
      <c r="AA59" s="36"/>
      <c r="AB59" s="40">
        <v>1174.5999999999999</v>
      </c>
      <c r="AC59" s="115">
        <v>519.73</v>
      </c>
      <c r="AD59" s="125"/>
      <c r="AE59" s="124"/>
      <c r="AF59" s="124"/>
      <c r="AG59" s="125"/>
      <c r="AH59" s="125"/>
      <c r="AI59" s="40">
        <v>1183.5</v>
      </c>
      <c r="AJ59" s="110">
        <v>549.59</v>
      </c>
      <c r="AK59" s="36">
        <f>AJ59/Tableau1[[#This Row],[Superficie]]</f>
        <v>2.7479500000000003</v>
      </c>
      <c r="AL59" s="42"/>
      <c r="AM59" s="42">
        <f>(AJ59-Tableau1[[#This Row],[Cotisation de base TTC]])/Tableau1[[#This Row],[Cotisation de base TTC]]</f>
        <v>6.6119638081981276E-3</v>
      </c>
      <c r="AN59" s="125"/>
      <c r="AO59" s="125"/>
    </row>
    <row r="60" spans="1:41" ht="18" x14ac:dyDescent="0.2">
      <c r="A60" s="14" t="s">
        <v>336</v>
      </c>
      <c r="B60" s="120" t="s">
        <v>337</v>
      </c>
      <c r="C60" s="116" t="s">
        <v>338</v>
      </c>
      <c r="D60" s="105" t="s">
        <v>290</v>
      </c>
      <c r="E60" s="14" t="s">
        <v>57</v>
      </c>
      <c r="F60" s="5" t="s">
        <v>83</v>
      </c>
      <c r="G60" s="5" t="s">
        <v>340</v>
      </c>
      <c r="H60" s="5" t="s">
        <v>85</v>
      </c>
      <c r="I60" s="5" t="s">
        <v>339</v>
      </c>
      <c r="J60" s="5" t="s">
        <v>342</v>
      </c>
      <c r="K60" s="5" t="s">
        <v>341</v>
      </c>
      <c r="L60" s="20">
        <v>1363.8</v>
      </c>
      <c r="M60" s="20">
        <f>Tableau1[[#This Row],[Cotisation de base TTC]]/Tableau1[[#This Row],[Superficie]]</f>
        <v>1.4355789473684211</v>
      </c>
      <c r="N60" s="20"/>
      <c r="O60" s="20"/>
      <c r="P60" s="20"/>
      <c r="Q60" s="32"/>
      <c r="R60" s="24"/>
      <c r="S60" s="29"/>
      <c r="T60" s="101"/>
      <c r="U60" s="5"/>
      <c r="V60" s="20"/>
      <c r="W60" s="36"/>
      <c r="X60" s="36"/>
      <c r="Y60" s="36"/>
      <c r="Z60" s="36"/>
      <c r="AA60" s="36"/>
      <c r="AB60" s="40">
        <v>1179.5</v>
      </c>
      <c r="AC60" s="115">
        <v>1043.93</v>
      </c>
      <c r="AD60" s="125"/>
      <c r="AE60" s="124"/>
      <c r="AF60" s="128"/>
      <c r="AG60" s="125"/>
      <c r="AH60" s="125"/>
      <c r="AI60" s="40">
        <v>1183.5</v>
      </c>
      <c r="AJ60" s="110">
        <v>1368.13</v>
      </c>
      <c r="AK60" s="36">
        <f>AJ60/Tableau1[[#This Row],[Superficie]]</f>
        <v>1.4401368421052634</v>
      </c>
      <c r="AL60" s="42"/>
      <c r="AM60" s="42">
        <f>(AJ60-Tableau1[[#This Row],[Cotisation de base TTC]])/Tableau1[[#This Row],[Cotisation de base TTC]]</f>
        <v>3.1749523390527607E-3</v>
      </c>
      <c r="AN60" s="125"/>
      <c r="AO60" s="125"/>
    </row>
    <row r="61" spans="1:41" ht="18" x14ac:dyDescent="0.2">
      <c r="A61" s="17" t="s">
        <v>343</v>
      </c>
      <c r="B61" s="104" t="s">
        <v>356</v>
      </c>
      <c r="C61" s="116" t="s">
        <v>357</v>
      </c>
      <c r="D61" s="116" t="s">
        <v>358</v>
      </c>
      <c r="E61" s="14" t="s">
        <v>69</v>
      </c>
      <c r="F61" s="5" t="s">
        <v>83</v>
      </c>
      <c r="G61" s="5" t="s">
        <v>354</v>
      </c>
      <c r="H61" s="5" t="s">
        <v>85</v>
      </c>
      <c r="I61" s="5" t="s">
        <v>355</v>
      </c>
      <c r="J61" s="5" t="s">
        <v>359</v>
      </c>
      <c r="K61" s="5" t="s">
        <v>341</v>
      </c>
      <c r="L61" s="20">
        <v>1682.11</v>
      </c>
      <c r="M61" s="20">
        <f>Tableau1[[#This Row],[Cotisation de base TTC]]/Tableau1[[#This Row],[Superficie]]</f>
        <v>0.76459545454545452</v>
      </c>
      <c r="N61" s="20"/>
      <c r="O61" s="20"/>
      <c r="P61" s="20"/>
      <c r="Q61" s="32"/>
      <c r="R61" s="24"/>
      <c r="S61" s="29"/>
      <c r="T61" s="101"/>
      <c r="U61" s="5"/>
      <c r="V61" s="20"/>
      <c r="W61" s="36"/>
      <c r="X61" s="36"/>
      <c r="Y61" s="36"/>
      <c r="Z61" s="36"/>
      <c r="AA61" s="36"/>
      <c r="AB61" s="40">
        <v>1179.5</v>
      </c>
      <c r="AC61" s="115">
        <v>1177.53</v>
      </c>
      <c r="AD61" s="125"/>
      <c r="AE61" s="124"/>
      <c r="AF61" s="128"/>
      <c r="AG61" s="125"/>
      <c r="AH61" s="125"/>
      <c r="AI61" s="40">
        <v>1183.5</v>
      </c>
      <c r="AJ61" s="110">
        <v>1687.52</v>
      </c>
      <c r="AK61" s="36">
        <f>AJ61/Tableau1[[#This Row],[Superficie]]</f>
        <v>0.76705454545454543</v>
      </c>
      <c r="AL61" s="124"/>
      <c r="AM61" s="42">
        <f>(AJ61-Tableau1[[#This Row],[Cotisation de base TTC]])/Tableau1[[#This Row],[Cotisation de base TTC]]</f>
        <v>3.2161987028197217E-3</v>
      </c>
      <c r="AN61" s="125"/>
      <c r="AO61" s="125"/>
    </row>
    <row r="62" spans="1:41" ht="18" x14ac:dyDescent="0.2">
      <c r="A62" s="17" t="s">
        <v>344</v>
      </c>
      <c r="B62" s="104" t="s">
        <v>361</v>
      </c>
      <c r="C62" s="116" t="s">
        <v>362</v>
      </c>
      <c r="D62" s="14" t="s">
        <v>285</v>
      </c>
      <c r="E62" s="14" t="s">
        <v>134</v>
      </c>
      <c r="F62" s="5" t="s">
        <v>83</v>
      </c>
      <c r="G62" s="5" t="s">
        <v>363</v>
      </c>
      <c r="H62" s="5" t="s">
        <v>85</v>
      </c>
      <c r="I62" s="5" t="s">
        <v>360</v>
      </c>
      <c r="J62" s="5" t="s">
        <v>364</v>
      </c>
      <c r="K62" s="5" t="s">
        <v>341</v>
      </c>
      <c r="L62" s="20">
        <v>2582.66</v>
      </c>
      <c r="M62" s="20">
        <f>Tableau1[[#This Row],[Cotisation de base TTC]]/Tableau1[[#This Row],[Superficie]]</f>
        <v>1.2298380952380952</v>
      </c>
      <c r="N62" s="20"/>
      <c r="O62" s="20"/>
      <c r="P62" s="20"/>
      <c r="Q62" s="32"/>
      <c r="R62" s="24"/>
      <c r="S62" s="29"/>
      <c r="T62" s="101"/>
      <c r="U62" s="5"/>
      <c r="V62" s="20"/>
      <c r="W62" s="36"/>
      <c r="X62" s="36"/>
      <c r="Y62" s="36"/>
      <c r="Z62" s="36"/>
      <c r="AA62" s="36"/>
      <c r="AB62" s="129"/>
      <c r="AC62" s="115"/>
      <c r="AD62" s="125"/>
      <c r="AE62" s="124"/>
      <c r="AF62" s="128"/>
      <c r="AG62" s="125"/>
      <c r="AH62" s="125"/>
      <c r="AI62" s="40">
        <v>1183.5</v>
      </c>
      <c r="AJ62" s="110">
        <v>2591.13</v>
      </c>
      <c r="AK62" s="36">
        <f>AJ62/Tableau1[[#This Row],[Superficie]]</f>
        <v>1.2338714285714287</v>
      </c>
      <c r="AL62" s="124"/>
      <c r="AM62" s="42">
        <f>(AJ62-Tableau1[[#This Row],[Cotisation de base TTC]])/Tableau1[[#This Row],[Cotisation de base TTC]]</f>
        <v>3.2795644800323138E-3</v>
      </c>
      <c r="AN62" s="125"/>
      <c r="AO62" s="125"/>
    </row>
    <row r="63" spans="1:41" ht="18" x14ac:dyDescent="0.2">
      <c r="A63" s="17" t="s">
        <v>345</v>
      </c>
      <c r="B63" s="104" t="s">
        <v>194</v>
      </c>
      <c r="C63" s="116" t="s">
        <v>384</v>
      </c>
      <c r="D63" s="116" t="s">
        <v>385</v>
      </c>
      <c r="E63" s="14" t="s">
        <v>45</v>
      </c>
      <c r="F63" s="5" t="s">
        <v>83</v>
      </c>
      <c r="G63" s="5" t="s">
        <v>382</v>
      </c>
      <c r="H63" s="5" t="s">
        <v>85</v>
      </c>
      <c r="I63" s="5" t="s">
        <v>381</v>
      </c>
      <c r="J63" s="5" t="s">
        <v>383</v>
      </c>
      <c r="K63" s="5" t="s">
        <v>341</v>
      </c>
      <c r="L63" s="20">
        <v>814.82</v>
      </c>
      <c r="M63" s="20">
        <f>Tableau1[[#This Row],[Cotisation de base TTC]]/Tableau1[[#This Row],[Superficie]]</f>
        <v>2.0370500000000002</v>
      </c>
      <c r="N63" s="20"/>
      <c r="O63" s="20"/>
      <c r="P63" s="20"/>
      <c r="Q63" s="32"/>
      <c r="R63" s="24"/>
      <c r="S63" s="29"/>
      <c r="T63" s="101"/>
      <c r="U63" s="5"/>
      <c r="V63" s="20"/>
      <c r="W63" s="36"/>
      <c r="X63" s="36"/>
      <c r="Y63" s="36"/>
      <c r="Z63" s="36"/>
      <c r="AA63" s="36"/>
      <c r="AB63" s="129"/>
      <c r="AC63" s="115"/>
      <c r="AD63" s="125"/>
      <c r="AE63" s="124"/>
      <c r="AF63" s="128"/>
      <c r="AG63" s="125"/>
      <c r="AH63" s="125"/>
      <c r="AI63" s="40">
        <v>1183.5</v>
      </c>
      <c r="AJ63" s="110">
        <v>817.32</v>
      </c>
      <c r="AK63" s="36">
        <f>AJ63/Tableau1[[#This Row],[Superficie]]</f>
        <v>2.0433000000000003</v>
      </c>
      <c r="AL63" s="124"/>
      <c r="AM63" s="42">
        <f>(AJ63-Tableau1[[#This Row],[Cotisation de base TTC]])/Tableau1[[#This Row],[Cotisation de base TTC]]</f>
        <v>3.0681622935126774E-3</v>
      </c>
      <c r="AN63" s="125"/>
      <c r="AO63" s="125"/>
    </row>
    <row r="64" spans="1:41" ht="18" x14ac:dyDescent="0.2">
      <c r="A64" s="17" t="s">
        <v>346</v>
      </c>
      <c r="B64" s="121">
        <v>87</v>
      </c>
      <c r="C64" s="105" t="s">
        <v>386</v>
      </c>
      <c r="D64" s="15" t="s">
        <v>387</v>
      </c>
      <c r="E64" s="14" t="s">
        <v>61</v>
      </c>
      <c r="F64" s="5" t="s">
        <v>83</v>
      </c>
      <c r="G64" s="5" t="s">
        <v>389</v>
      </c>
      <c r="H64" s="5" t="s">
        <v>85</v>
      </c>
      <c r="I64" s="5" t="s">
        <v>388</v>
      </c>
      <c r="J64" s="5" t="s">
        <v>390</v>
      </c>
      <c r="K64" s="5" t="s">
        <v>341</v>
      </c>
      <c r="L64" s="20">
        <v>1501.14</v>
      </c>
      <c r="M64" s="20">
        <f>Tableau1[[#This Row],[Cotisation de base TTC]]/Tableau1[[#This Row],[Superficie]]</f>
        <v>1.1236077844311378</v>
      </c>
      <c r="N64" s="20"/>
      <c r="O64" s="20"/>
      <c r="P64" s="20"/>
      <c r="Q64" s="32"/>
      <c r="R64" s="24"/>
      <c r="S64" s="29"/>
      <c r="T64" s="101"/>
      <c r="U64" s="5"/>
      <c r="V64" s="20"/>
      <c r="W64" s="36"/>
      <c r="X64" s="36"/>
      <c r="Y64" s="36"/>
      <c r="Z64" s="36"/>
      <c r="AA64" s="36"/>
      <c r="AB64" s="129"/>
      <c r="AC64" s="115"/>
      <c r="AD64" s="125"/>
      <c r="AE64" s="124"/>
      <c r="AF64" s="128"/>
      <c r="AG64" s="125"/>
      <c r="AH64" s="125"/>
      <c r="AI64" s="40">
        <v>1183.5</v>
      </c>
      <c r="AJ64" s="110">
        <v>1505.95</v>
      </c>
      <c r="AK64" s="36">
        <f>AJ64/Tableau1[[#This Row],[Superficie]]</f>
        <v>1.1272080838323353</v>
      </c>
      <c r="AL64" s="124"/>
      <c r="AM64" s="42">
        <f>(AJ64-Tableau1[[#This Row],[Cotisation de base TTC]])/Tableau1[[#This Row],[Cotisation de base TTC]]</f>
        <v>3.2042314507640494E-3</v>
      </c>
      <c r="AN64" s="125"/>
      <c r="AO64" s="125"/>
    </row>
    <row r="65" spans="1:41" ht="18" x14ac:dyDescent="0.2">
      <c r="A65" s="17" t="s">
        <v>347</v>
      </c>
      <c r="B65" s="104" t="s">
        <v>365</v>
      </c>
      <c r="C65" s="116" t="s">
        <v>366</v>
      </c>
      <c r="D65" s="105" t="s">
        <v>290</v>
      </c>
      <c r="E65" s="14" t="s">
        <v>61</v>
      </c>
      <c r="F65" s="5" t="s">
        <v>83</v>
      </c>
      <c r="G65" s="5" t="s">
        <v>367</v>
      </c>
      <c r="H65" s="5" t="s">
        <v>85</v>
      </c>
      <c r="I65" s="5" t="s">
        <v>368</v>
      </c>
      <c r="J65" s="5" t="s">
        <v>369</v>
      </c>
      <c r="K65" s="5" t="s">
        <v>370</v>
      </c>
      <c r="L65" s="20">
        <v>1755.96</v>
      </c>
      <c r="M65" s="20">
        <f>Tableau1[[#This Row],[Cotisation de base TTC]]/Tableau1[[#This Row],[Superficie]]</f>
        <v>1.0452142857142857</v>
      </c>
      <c r="N65" s="20"/>
      <c r="O65" s="20"/>
      <c r="P65" s="20"/>
      <c r="Q65" s="32"/>
      <c r="R65" s="24"/>
      <c r="S65" s="29"/>
      <c r="T65" s="101"/>
      <c r="U65" s="5"/>
      <c r="V65" s="20"/>
      <c r="W65" s="36"/>
      <c r="X65" s="36"/>
      <c r="Y65" s="36"/>
      <c r="Z65" s="36"/>
      <c r="AA65" s="36"/>
      <c r="AB65" s="129"/>
      <c r="AC65" s="115"/>
      <c r="AD65" s="125"/>
      <c r="AE65" s="124"/>
      <c r="AF65" s="128"/>
      <c r="AG65" s="125"/>
      <c r="AH65" s="125"/>
      <c r="AI65" s="40">
        <v>1183.5</v>
      </c>
      <c r="AJ65" s="110">
        <v>1762.53</v>
      </c>
      <c r="AK65" s="36">
        <f>AJ65/Tableau1[[#This Row],[Superficie]]</f>
        <v>1.0491250000000001</v>
      </c>
      <c r="AL65" s="124"/>
      <c r="AM65" s="42">
        <f>(AJ65-Tableau1[[#This Row],[Cotisation de base TTC]])/Tableau1[[#This Row],[Cotisation de base TTC]]</f>
        <v>3.741543087541821E-3</v>
      </c>
      <c r="AN65" s="125"/>
      <c r="AO65" s="125"/>
    </row>
    <row r="66" spans="1:41" ht="18" x14ac:dyDescent="0.2">
      <c r="A66" s="17" t="s">
        <v>348</v>
      </c>
      <c r="B66" s="15" t="s">
        <v>391</v>
      </c>
      <c r="C66" s="105" t="s">
        <v>392</v>
      </c>
      <c r="D66" s="104" t="s">
        <v>393</v>
      </c>
      <c r="E66" s="14" t="s">
        <v>164</v>
      </c>
      <c r="F66" s="5" t="s">
        <v>83</v>
      </c>
      <c r="G66" s="5" t="s">
        <v>402</v>
      </c>
      <c r="H66" s="5" t="s">
        <v>85</v>
      </c>
      <c r="I66" s="5" t="s">
        <v>401</v>
      </c>
      <c r="J66" s="5" t="s">
        <v>403</v>
      </c>
      <c r="K66" s="5" t="s">
        <v>370</v>
      </c>
      <c r="L66" s="20">
        <v>3889.83</v>
      </c>
      <c r="M66" s="20">
        <f>Tableau1[[#This Row],[Cotisation de base TTC]]/Tableau1[[#This Row],[Superficie]]</f>
        <v>1.1942984341418483</v>
      </c>
      <c r="N66" s="20"/>
      <c r="O66" s="20"/>
      <c r="P66" s="20"/>
      <c r="Q66" s="32"/>
      <c r="R66" s="24"/>
      <c r="S66" s="29"/>
      <c r="T66" s="101"/>
      <c r="U66" s="5"/>
      <c r="V66" s="20"/>
      <c r="W66" s="36"/>
      <c r="X66" s="36"/>
      <c r="Y66" s="36"/>
      <c r="Z66" s="36"/>
      <c r="AA66" s="36"/>
      <c r="AB66" s="129">
        <v>1178.9000000000001</v>
      </c>
      <c r="AC66" s="115">
        <v>1742.49</v>
      </c>
      <c r="AD66" s="125"/>
      <c r="AE66" s="124"/>
      <c r="AF66" s="128"/>
      <c r="AG66" s="125"/>
      <c r="AH66" s="125"/>
      <c r="AI66" s="40">
        <v>1183.5</v>
      </c>
      <c r="AJ66" s="110">
        <v>3904.7</v>
      </c>
      <c r="AK66" s="36">
        <f>AJ66/Tableau1[[#This Row],[Superficie]]</f>
        <v>1.1988639852625114</v>
      </c>
      <c r="AL66" s="124"/>
      <c r="AM66" s="42">
        <f>(AJ66-Tableau1[[#This Row],[Cotisation de base TTC]])/Tableau1[[#This Row],[Cotisation de base TTC]]</f>
        <v>3.8227891707349397E-3</v>
      </c>
      <c r="AN66" s="125"/>
      <c r="AO66" s="125"/>
    </row>
    <row r="67" spans="1:41" ht="18" x14ac:dyDescent="0.2">
      <c r="A67" s="17" t="s">
        <v>349</v>
      </c>
      <c r="B67" s="15" t="s">
        <v>394</v>
      </c>
      <c r="C67" s="105" t="s">
        <v>395</v>
      </c>
      <c r="D67" s="104" t="s">
        <v>396</v>
      </c>
      <c r="E67" s="14" t="s">
        <v>66</v>
      </c>
      <c r="F67" s="5" t="s">
        <v>83</v>
      </c>
      <c r="G67" s="5" t="s">
        <v>404</v>
      </c>
      <c r="H67" s="5" t="s">
        <v>85</v>
      </c>
      <c r="I67" s="5" t="s">
        <v>405</v>
      </c>
      <c r="J67" s="5" t="s">
        <v>406</v>
      </c>
      <c r="K67" s="5" t="s">
        <v>370</v>
      </c>
      <c r="L67" s="20">
        <v>3264.45</v>
      </c>
      <c r="M67" s="20">
        <f>Tableau1[[#This Row],[Cotisation de base TTC]]/Tableau1[[#This Row],[Superficie]]</f>
        <v>1.7645675675675674</v>
      </c>
      <c r="N67" s="20"/>
      <c r="O67" s="20"/>
      <c r="P67" s="20"/>
      <c r="Q67" s="32"/>
      <c r="R67" s="24"/>
      <c r="S67" s="29"/>
      <c r="T67" s="101"/>
      <c r="U67" s="5"/>
      <c r="V67" s="20"/>
      <c r="W67" s="36"/>
      <c r="X67" s="36"/>
      <c r="Y67" s="36"/>
      <c r="Z67" s="36"/>
      <c r="AA67" s="36"/>
      <c r="AB67" s="129">
        <v>1178.9000000000001</v>
      </c>
      <c r="AC67" s="115">
        <v>1240.55</v>
      </c>
      <c r="AD67" s="125"/>
      <c r="AE67" s="124"/>
      <c r="AF67" s="128"/>
      <c r="AG67" s="125"/>
      <c r="AH67" s="125"/>
      <c r="AI67" s="40">
        <v>1183.5</v>
      </c>
      <c r="AJ67" s="110">
        <v>3276.87</v>
      </c>
      <c r="AK67" s="36">
        <f>AJ67/Tableau1[[#This Row],[Superficie]]</f>
        <v>1.7712810810810811</v>
      </c>
      <c r="AL67" s="124"/>
      <c r="AM67" s="42">
        <f>(AJ67-Tableau1[[#This Row],[Cotisation de base TTC]])/Tableau1[[#This Row],[Cotisation de base TTC]]</f>
        <v>3.8046225244681565E-3</v>
      </c>
      <c r="AN67" s="125"/>
      <c r="AO67" s="125"/>
    </row>
    <row r="68" spans="1:41" ht="36" x14ac:dyDescent="0.2">
      <c r="A68" s="17" t="s">
        <v>350</v>
      </c>
      <c r="B68" s="104" t="s">
        <v>372</v>
      </c>
      <c r="C68" s="116" t="s">
        <v>373</v>
      </c>
      <c r="D68" s="116" t="s">
        <v>374</v>
      </c>
      <c r="E68" s="14" t="s">
        <v>78</v>
      </c>
      <c r="F68" s="5" t="s">
        <v>83</v>
      </c>
      <c r="G68" s="5" t="s">
        <v>375</v>
      </c>
      <c r="H68" s="5" t="s">
        <v>85</v>
      </c>
      <c r="I68" s="5" t="s">
        <v>371</v>
      </c>
      <c r="J68" s="5" t="s">
        <v>376</v>
      </c>
      <c r="K68" s="5" t="s">
        <v>370</v>
      </c>
      <c r="L68" s="20">
        <v>3249.56</v>
      </c>
      <c r="M68" s="20">
        <f>Tableau1[[#This Row],[Cotisation de base TTC]]/Tableau1[[#This Row],[Superficie]]</f>
        <v>0.89029041095890404</v>
      </c>
      <c r="N68" s="20"/>
      <c r="O68" s="20"/>
      <c r="P68" s="20"/>
      <c r="Q68" s="32"/>
      <c r="R68" s="24"/>
      <c r="S68" s="29"/>
      <c r="T68" s="101"/>
      <c r="U68" s="5"/>
      <c r="V68" s="20"/>
      <c r="W68" s="36"/>
      <c r="X68" s="36"/>
      <c r="Y68" s="36"/>
      <c r="Z68" s="36"/>
      <c r="AA68" s="36"/>
      <c r="AB68" s="129">
        <v>1178.9000000000001</v>
      </c>
      <c r="AC68" s="115">
        <v>1409.47</v>
      </c>
      <c r="AD68" s="125"/>
      <c r="AE68" s="124"/>
      <c r="AF68" s="128"/>
      <c r="AG68" s="125"/>
      <c r="AH68" s="125"/>
      <c r="AI68" s="40">
        <v>1183.5</v>
      </c>
      <c r="AJ68" s="110">
        <v>3261.91</v>
      </c>
      <c r="AK68" s="36">
        <f>AJ68/Tableau1[[#This Row],[Superficie]]</f>
        <v>0.89367397260273973</v>
      </c>
      <c r="AL68" s="124"/>
      <c r="AM68" s="42">
        <f>(AJ68-Tableau1[[#This Row],[Cotisation de base TTC]])/Tableau1[[#This Row],[Cotisation de base TTC]]</f>
        <v>3.8005145311980418E-3</v>
      </c>
      <c r="AN68" s="125"/>
      <c r="AO68" s="125"/>
    </row>
    <row r="69" spans="1:41" ht="18" x14ac:dyDescent="0.2">
      <c r="A69" s="17" t="s">
        <v>351</v>
      </c>
      <c r="B69" s="104" t="s">
        <v>378</v>
      </c>
      <c r="C69" s="116" t="s">
        <v>379</v>
      </c>
      <c r="D69" s="14" t="s">
        <v>285</v>
      </c>
      <c r="E69" s="14" t="s">
        <v>61</v>
      </c>
      <c r="F69" s="5" t="s">
        <v>83</v>
      </c>
      <c r="G69" s="5" t="s">
        <v>375</v>
      </c>
      <c r="H69" s="5" t="s">
        <v>85</v>
      </c>
      <c r="I69" s="5" t="s">
        <v>377</v>
      </c>
      <c r="J69" s="5" t="s">
        <v>380</v>
      </c>
      <c r="K69" s="5" t="s">
        <v>370</v>
      </c>
      <c r="L69" s="20">
        <v>2514.37</v>
      </c>
      <c r="M69" s="20">
        <f>Tableau1[[#This Row],[Cotisation de base TTC]]/Tableau1[[#This Row],[Superficie]]</f>
        <v>1.3233526315789472</v>
      </c>
      <c r="N69" s="20"/>
      <c r="O69" s="20"/>
      <c r="P69" s="20"/>
      <c r="Q69" s="32"/>
      <c r="R69" s="24"/>
      <c r="S69" s="29"/>
      <c r="T69" s="101"/>
      <c r="U69" s="5"/>
      <c r="V69" s="20"/>
      <c r="W69" s="36"/>
      <c r="X69" s="36"/>
      <c r="Y69" s="36"/>
      <c r="Z69" s="36"/>
      <c r="AA69" s="36"/>
      <c r="AB69" s="129"/>
      <c r="AC69" s="115"/>
      <c r="AD69" s="125"/>
      <c r="AE69" s="124"/>
      <c r="AF69" s="128"/>
      <c r="AG69" s="125"/>
      <c r="AH69" s="125"/>
      <c r="AI69" s="40">
        <v>1183.5</v>
      </c>
      <c r="AJ69" s="110">
        <v>2523.86</v>
      </c>
      <c r="AK69" s="36">
        <f>AJ69/Tableau1[[#This Row],[Superficie]]</f>
        <v>1.3283473684210527</v>
      </c>
      <c r="AL69" s="124"/>
      <c r="AM69" s="42">
        <f>(AJ69-Tableau1[[#This Row],[Cotisation de base TTC]])/Tableau1[[#This Row],[Cotisation de base TTC]]</f>
        <v>3.7743052931749252E-3</v>
      </c>
      <c r="AN69" s="125"/>
      <c r="AO69" s="125"/>
    </row>
    <row r="70" spans="1:41" ht="18" x14ac:dyDescent="0.2">
      <c r="A70" s="17" t="s">
        <v>352</v>
      </c>
      <c r="B70" s="15" t="s">
        <v>397</v>
      </c>
      <c r="C70" s="122" t="s">
        <v>398</v>
      </c>
      <c r="D70" s="104" t="s">
        <v>280</v>
      </c>
      <c r="E70" s="14" t="s">
        <v>45</v>
      </c>
      <c r="F70" s="5" t="s">
        <v>83</v>
      </c>
      <c r="G70" s="5" t="s">
        <v>408</v>
      </c>
      <c r="H70" s="5" t="s">
        <v>85</v>
      </c>
      <c r="I70" s="5" t="s">
        <v>407</v>
      </c>
      <c r="J70" s="5" t="s">
        <v>409</v>
      </c>
      <c r="K70" s="5" t="s">
        <v>370</v>
      </c>
      <c r="L70" s="20">
        <v>966.12</v>
      </c>
      <c r="M70" s="20">
        <f>Tableau1[[#This Row],[Cotisation de base TTC]]/Tableau1[[#This Row],[Superficie]]</f>
        <v>1.6949473684210525</v>
      </c>
      <c r="N70" s="20"/>
      <c r="O70" s="20"/>
      <c r="P70" s="20"/>
      <c r="Q70" s="32"/>
      <c r="R70" s="24"/>
      <c r="S70" s="29"/>
      <c r="T70" s="101"/>
      <c r="U70" s="5"/>
      <c r="V70" s="20"/>
      <c r="W70" s="36"/>
      <c r="X70" s="36"/>
      <c r="Y70" s="36"/>
      <c r="Z70" s="36"/>
      <c r="AA70" s="36"/>
      <c r="AB70" s="129"/>
      <c r="AC70" s="115"/>
      <c r="AD70" s="125"/>
      <c r="AE70" s="124"/>
      <c r="AF70" s="128"/>
      <c r="AG70" s="125"/>
      <c r="AH70" s="125"/>
      <c r="AI70" s="40">
        <v>1183.5</v>
      </c>
      <c r="AJ70" s="110">
        <v>969.62</v>
      </c>
      <c r="AK70" s="36">
        <f>AJ70/Tableau1[[#This Row],[Superficie]]</f>
        <v>1.7010877192982456</v>
      </c>
      <c r="AL70" s="124"/>
      <c r="AM70" s="42">
        <f>(AJ70-Tableau1[[#This Row],[Cotisation de base TTC]])/Tableau1[[#This Row],[Cotisation de base TTC]]</f>
        <v>3.6227383761851528E-3</v>
      </c>
      <c r="AN70" s="125"/>
      <c r="AO70" s="125"/>
    </row>
    <row r="71" spans="1:41" ht="18" x14ac:dyDescent="0.2">
      <c r="A71" s="17" t="s">
        <v>353</v>
      </c>
      <c r="B71" s="15" t="s">
        <v>399</v>
      </c>
      <c r="C71" s="105" t="s">
        <v>400</v>
      </c>
      <c r="D71" s="104" t="s">
        <v>285</v>
      </c>
      <c r="E71" s="14" t="s">
        <v>234</v>
      </c>
      <c r="F71" s="5" t="s">
        <v>83</v>
      </c>
      <c r="G71" s="5" t="s">
        <v>461</v>
      </c>
      <c r="H71" s="5" t="s">
        <v>85</v>
      </c>
      <c r="I71" s="5" t="s">
        <v>416</v>
      </c>
      <c r="J71" s="5" t="s">
        <v>417</v>
      </c>
      <c r="K71" s="5" t="s">
        <v>449</v>
      </c>
      <c r="L71" s="20">
        <v>4284.51</v>
      </c>
      <c r="M71" s="20">
        <f>Tableau1[[#This Row],[Cotisation de base TTC]]/Tableau1[[#This Row],[Superficie]]</f>
        <v>0.89260625000000005</v>
      </c>
      <c r="N71" s="20"/>
      <c r="O71" s="20"/>
      <c r="P71" s="20"/>
      <c r="Q71" s="32"/>
      <c r="R71" s="24"/>
      <c r="S71" s="29"/>
      <c r="T71" s="101"/>
      <c r="U71" s="5"/>
      <c r="V71" s="20"/>
      <c r="W71" s="36"/>
      <c r="X71" s="36"/>
      <c r="Y71" s="36"/>
      <c r="Z71" s="36"/>
      <c r="AA71" s="36"/>
      <c r="AB71" s="129"/>
      <c r="AC71" s="115"/>
      <c r="AD71" s="125"/>
      <c r="AE71" s="124"/>
      <c r="AF71" s="128"/>
      <c r="AG71" s="125"/>
      <c r="AH71" s="125"/>
      <c r="AI71" s="40">
        <v>1183.5</v>
      </c>
      <c r="AJ71" s="110">
        <v>4294.13</v>
      </c>
      <c r="AK71" s="36">
        <f>AJ71/Tableau1[[#This Row],[Superficie]]</f>
        <v>0.89461041666666674</v>
      </c>
      <c r="AL71" s="124"/>
      <c r="AM71" s="42">
        <f>(AJ71-Tableau1[[#This Row],[Cotisation de base TTC]])/Tableau1[[#This Row],[Cotisation de base TTC]]</f>
        <v>2.245297595290918E-3</v>
      </c>
      <c r="AN71" s="125"/>
      <c r="AO71" s="125"/>
    </row>
    <row r="72" spans="1:41" ht="20.25" x14ac:dyDescent="0.2">
      <c r="A72" s="14" t="s">
        <v>418</v>
      </c>
      <c r="B72" s="131" t="s">
        <v>419</v>
      </c>
      <c r="C72" s="105" t="s">
        <v>420</v>
      </c>
      <c r="D72" s="104" t="s">
        <v>274</v>
      </c>
      <c r="E72" s="14" t="s">
        <v>329</v>
      </c>
      <c r="F72" s="5" t="s">
        <v>83</v>
      </c>
      <c r="G72" s="5" t="s">
        <v>462</v>
      </c>
      <c r="H72" s="5" t="s">
        <v>85</v>
      </c>
      <c r="I72" s="5" t="s">
        <v>463</v>
      </c>
      <c r="J72" s="5" t="s">
        <v>417</v>
      </c>
      <c r="K72" s="5" t="s">
        <v>449</v>
      </c>
      <c r="L72" s="20">
        <v>6827.26</v>
      </c>
      <c r="M72" s="20">
        <f>Tableau1[[#This Row],[Cotisation de base TTC]]/Tableau1[[#This Row],[Superficie]]</f>
        <v>1.4223458333333334</v>
      </c>
      <c r="N72" s="20"/>
      <c r="O72" s="20"/>
      <c r="P72" s="20"/>
      <c r="Q72" s="32"/>
      <c r="R72" s="24"/>
      <c r="S72" s="29"/>
      <c r="T72" s="101"/>
      <c r="U72" s="5"/>
      <c r="V72" s="20"/>
      <c r="W72" s="36"/>
      <c r="X72" s="36"/>
      <c r="Y72" s="36"/>
      <c r="Z72" s="36"/>
      <c r="AA72" s="36"/>
      <c r="AB72" s="102"/>
      <c r="AC72" s="102"/>
      <c r="AD72" s="103"/>
      <c r="AE72" s="102"/>
      <c r="AF72" s="130"/>
      <c r="AG72" s="103"/>
      <c r="AH72" s="103"/>
      <c r="AI72" s="40">
        <v>1183.5</v>
      </c>
      <c r="AJ72" s="110">
        <v>6842.7</v>
      </c>
      <c r="AK72" s="36">
        <f>AJ72/Tableau1[[#This Row],[Superficie]]</f>
        <v>1.4255625000000001</v>
      </c>
      <c r="AL72" s="124"/>
      <c r="AM72" s="42">
        <f>(AJ72-Tableau1[[#This Row],[Cotisation de base TTC]])/Tableau1[[#This Row],[Cotisation de base TTC]]</f>
        <v>2.2615221919188079E-3</v>
      </c>
      <c r="AN72" s="125"/>
      <c r="AO72" s="125"/>
    </row>
    <row r="73" spans="1:41" ht="54" x14ac:dyDescent="0.2">
      <c r="A73" s="14" t="s">
        <v>421</v>
      </c>
      <c r="B73" s="131" t="s">
        <v>427</v>
      </c>
      <c r="C73" s="122" t="s">
        <v>428</v>
      </c>
      <c r="D73" s="104" t="s">
        <v>429</v>
      </c>
      <c r="E73" s="121">
        <v>17</v>
      </c>
      <c r="F73" s="5" t="s">
        <v>83</v>
      </c>
      <c r="G73" s="5" t="s">
        <v>450</v>
      </c>
      <c r="H73" s="5" t="s">
        <v>85</v>
      </c>
      <c r="I73" s="5" t="s">
        <v>448</v>
      </c>
      <c r="J73" s="5" t="s">
        <v>76</v>
      </c>
      <c r="K73" s="5" t="s">
        <v>449</v>
      </c>
      <c r="L73" s="20">
        <v>148</v>
      </c>
      <c r="M73" s="20"/>
      <c r="N73" s="20"/>
      <c r="O73" s="20"/>
      <c r="P73" s="20"/>
      <c r="Q73" s="32"/>
      <c r="R73" s="24"/>
      <c r="S73" s="29"/>
      <c r="T73" s="101"/>
      <c r="U73" s="5"/>
      <c r="V73" s="20"/>
      <c r="W73" s="36"/>
      <c r="X73" s="36"/>
      <c r="Y73" s="36"/>
      <c r="Z73" s="36"/>
      <c r="AA73" s="36"/>
      <c r="AB73" s="102"/>
      <c r="AC73" s="102"/>
      <c r="AD73" s="103"/>
      <c r="AE73" s="102"/>
      <c r="AF73" s="130"/>
      <c r="AG73" s="103"/>
      <c r="AH73" s="103"/>
      <c r="AI73" s="40">
        <v>1180.8</v>
      </c>
      <c r="AJ73" s="110">
        <v>152.33000000000001</v>
      </c>
      <c r="AK73" s="36"/>
      <c r="AL73" s="124"/>
      <c r="AM73" s="42">
        <f>(AJ73-Tableau1[[#This Row],[Cotisation de base TTC]])/Tableau1[[#This Row],[Cotisation de base TTC]]</f>
        <v>2.925675675675684E-2</v>
      </c>
      <c r="AN73" s="125"/>
      <c r="AO73" s="125"/>
    </row>
    <row r="74" spans="1:41" ht="20.25" x14ac:dyDescent="0.2">
      <c r="A74" s="14" t="s">
        <v>422</v>
      </c>
      <c r="B74" s="131" t="s">
        <v>430</v>
      </c>
      <c r="C74" s="122" t="s">
        <v>431</v>
      </c>
      <c r="D74" s="104" t="s">
        <v>290</v>
      </c>
      <c r="E74" s="121">
        <v>21</v>
      </c>
      <c r="F74" s="5" t="s">
        <v>83</v>
      </c>
      <c r="G74" s="5" t="s">
        <v>452</v>
      </c>
      <c r="H74" s="5" t="s">
        <v>85</v>
      </c>
      <c r="I74" s="5" t="s">
        <v>451</v>
      </c>
      <c r="J74" s="5" t="s">
        <v>380</v>
      </c>
      <c r="K74" s="5" t="s">
        <v>447</v>
      </c>
      <c r="L74" s="20">
        <v>2007</v>
      </c>
      <c r="M74" s="20">
        <f>Tableau1[[#This Row],[Cotisation de base TTC]]/Tableau1[[#This Row],[Superficie]]</f>
        <v>1.0563157894736843</v>
      </c>
      <c r="N74" s="20"/>
      <c r="O74" s="20"/>
      <c r="P74" s="20"/>
      <c r="Q74" s="32"/>
      <c r="R74" s="24"/>
      <c r="S74" s="29"/>
      <c r="T74" s="101"/>
      <c r="U74" s="5"/>
      <c r="V74" s="20"/>
      <c r="W74" s="36"/>
      <c r="X74" s="36"/>
      <c r="Y74" s="36"/>
      <c r="Z74" s="36"/>
      <c r="AA74" s="36"/>
      <c r="AB74" s="102"/>
      <c r="AC74" s="102"/>
      <c r="AD74" s="103"/>
      <c r="AE74" s="102"/>
      <c r="AF74" s="130"/>
      <c r="AG74" s="103"/>
      <c r="AH74" s="103"/>
      <c r="AI74" s="40">
        <v>1183.5</v>
      </c>
      <c r="AJ74" s="110">
        <v>2007</v>
      </c>
      <c r="AK74" s="36">
        <f>AJ74/Tableau1[[#This Row],[Superficie]]</f>
        <v>1.0563157894736843</v>
      </c>
      <c r="AL74" s="124"/>
      <c r="AM74" s="42">
        <f>(AJ74-Tableau1[[#This Row],[Cotisation de base TTC]])/Tableau1[[#This Row],[Cotisation de base TTC]]</f>
        <v>0</v>
      </c>
      <c r="AN74" s="125"/>
      <c r="AO74" s="125"/>
    </row>
    <row r="75" spans="1:41" ht="20.25" x14ac:dyDescent="0.2">
      <c r="A75" s="14" t="s">
        <v>423</v>
      </c>
      <c r="B75" s="131" t="s">
        <v>432</v>
      </c>
      <c r="C75" s="132" t="s">
        <v>433</v>
      </c>
      <c r="D75" s="15" t="s">
        <v>290</v>
      </c>
      <c r="E75" s="106">
        <v>10</v>
      </c>
      <c r="F75" s="5" t="s">
        <v>83</v>
      </c>
      <c r="G75" s="5" t="s">
        <v>446</v>
      </c>
      <c r="H75" s="5" t="s">
        <v>85</v>
      </c>
      <c r="I75" s="5" t="s">
        <v>453</v>
      </c>
      <c r="J75" s="5" t="s">
        <v>454</v>
      </c>
      <c r="K75" s="5" t="s">
        <v>447</v>
      </c>
      <c r="L75" s="20">
        <v>3574.71</v>
      </c>
      <c r="M75" s="20">
        <f>Tableau1[[#This Row],[Cotisation de base TTC]]/Tableau1[[#This Row],[Superficie]]</f>
        <v>2.0426914285714286</v>
      </c>
      <c r="N75" s="20"/>
      <c r="O75" s="20"/>
      <c r="P75" s="20"/>
      <c r="Q75" s="32"/>
      <c r="R75" s="24"/>
      <c r="S75" s="29"/>
      <c r="T75" s="101"/>
      <c r="U75" s="5"/>
      <c r="V75" s="20"/>
      <c r="W75" s="36"/>
      <c r="X75" s="36"/>
      <c r="Y75" s="36"/>
      <c r="Z75" s="36"/>
      <c r="AA75" s="36"/>
      <c r="AB75" s="102"/>
      <c r="AC75" s="102"/>
      <c r="AD75" s="103"/>
      <c r="AE75" s="102"/>
      <c r="AF75" s="130"/>
      <c r="AG75" s="103"/>
      <c r="AH75" s="103"/>
      <c r="AI75" s="40">
        <v>1183.5</v>
      </c>
      <c r="AJ75" s="110">
        <v>3574.71</v>
      </c>
      <c r="AK75" s="36">
        <f>AJ75/Tableau1[[#This Row],[Superficie]]</f>
        <v>2.0426914285714286</v>
      </c>
      <c r="AL75" s="124"/>
      <c r="AM75" s="42">
        <f>(AJ75-Tableau1[[#This Row],[Cotisation de base TTC]])/Tableau1[[#This Row],[Cotisation de base TTC]]</f>
        <v>0</v>
      </c>
      <c r="AN75" s="125"/>
      <c r="AO75" s="125"/>
    </row>
    <row r="76" spans="1:41" ht="20.25" x14ac:dyDescent="0.2">
      <c r="A76" s="14" t="s">
        <v>424</v>
      </c>
      <c r="B76" s="131" t="s">
        <v>434</v>
      </c>
      <c r="C76" s="105" t="s">
        <v>435</v>
      </c>
      <c r="D76" s="104" t="s">
        <v>285</v>
      </c>
      <c r="E76" s="121">
        <v>10</v>
      </c>
      <c r="F76" s="5" t="s">
        <v>83</v>
      </c>
      <c r="G76" s="5" t="s">
        <v>446</v>
      </c>
      <c r="H76" s="5" t="s">
        <v>85</v>
      </c>
      <c r="I76" s="5" t="s">
        <v>455</v>
      </c>
      <c r="J76" s="5" t="s">
        <v>456</v>
      </c>
      <c r="K76" s="5" t="s">
        <v>447</v>
      </c>
      <c r="L76" s="20">
        <v>1387.39</v>
      </c>
      <c r="M76" s="20">
        <f>Tableau1[[#This Row],[Cotisation de base TTC]]/Tableau1[[#This Row],[Superficie]]</f>
        <v>1.109912</v>
      </c>
      <c r="N76" s="20"/>
      <c r="O76" s="20"/>
      <c r="P76" s="20"/>
      <c r="Q76" s="32"/>
      <c r="R76" s="24"/>
      <c r="S76" s="29"/>
      <c r="T76" s="101"/>
      <c r="U76" s="5"/>
      <c r="V76" s="20"/>
      <c r="W76" s="36"/>
      <c r="X76" s="36"/>
      <c r="Y76" s="36"/>
      <c r="Z76" s="36"/>
      <c r="AA76" s="36"/>
      <c r="AB76" s="102"/>
      <c r="AC76" s="102"/>
      <c r="AD76" s="103"/>
      <c r="AE76" s="102"/>
      <c r="AF76" s="130"/>
      <c r="AG76" s="103"/>
      <c r="AH76" s="103"/>
      <c r="AI76" s="40">
        <v>1183.5</v>
      </c>
      <c r="AJ76" s="110">
        <v>1387.39</v>
      </c>
      <c r="AK76" s="36">
        <f>AJ76/Tableau1[[#This Row],[Superficie]]</f>
        <v>1.109912</v>
      </c>
      <c r="AL76" s="124"/>
      <c r="AM76" s="42">
        <f>(AJ76-Tableau1[[#This Row],[Cotisation de base TTC]])/Tableau1[[#This Row],[Cotisation de base TTC]]</f>
        <v>0</v>
      </c>
      <c r="AN76" s="125"/>
      <c r="AO76" s="125"/>
    </row>
    <row r="77" spans="1:41" ht="20.25" x14ac:dyDescent="0.2">
      <c r="A77" s="14" t="s">
        <v>425</v>
      </c>
      <c r="B77" s="131" t="s">
        <v>436</v>
      </c>
      <c r="C77" s="122" t="s">
        <v>437</v>
      </c>
      <c r="D77" s="104" t="s">
        <v>396</v>
      </c>
      <c r="E77" s="121">
        <v>24</v>
      </c>
      <c r="F77" s="5" t="s">
        <v>83</v>
      </c>
      <c r="G77" s="5" t="s">
        <v>452</v>
      </c>
      <c r="H77" s="5" t="s">
        <v>85</v>
      </c>
      <c r="I77" s="5" t="s">
        <v>459</v>
      </c>
      <c r="J77" s="5" t="s">
        <v>460</v>
      </c>
      <c r="K77" s="5" t="s">
        <v>447</v>
      </c>
      <c r="L77" s="20">
        <v>2188.23</v>
      </c>
      <c r="M77" s="20">
        <f>Tableau1[[#This Row],[Cotisation de base TTC]]/Tableau1[[#This Row],[Superficie]]</f>
        <v>0.81498324022346369</v>
      </c>
      <c r="N77" s="20"/>
      <c r="O77" s="20"/>
      <c r="P77" s="20"/>
      <c r="Q77" s="32"/>
      <c r="R77" s="24"/>
      <c r="S77" s="29"/>
      <c r="T77" s="101"/>
      <c r="U77" s="5"/>
      <c r="V77" s="20"/>
      <c r="W77" s="36"/>
      <c r="X77" s="36"/>
      <c r="Y77" s="36"/>
      <c r="Z77" s="36"/>
      <c r="AA77" s="36"/>
      <c r="AB77" s="102"/>
      <c r="AC77" s="102"/>
      <c r="AD77" s="103"/>
      <c r="AE77" s="102"/>
      <c r="AF77" s="130"/>
      <c r="AG77" s="103"/>
      <c r="AH77" s="103"/>
      <c r="AI77" s="40">
        <v>1183.5</v>
      </c>
      <c r="AJ77" s="110">
        <v>2147.56</v>
      </c>
      <c r="AK77" s="36">
        <f>AJ77/Tableau1[[#This Row],[Superficie]]</f>
        <v>0.79983612662942272</v>
      </c>
      <c r="AL77" s="124"/>
      <c r="AM77" s="42">
        <f>(AJ77-Tableau1[[#This Row],[Cotisation de base TTC]])/Tableau1[[#This Row],[Cotisation de base TTC]]</f>
        <v>-1.8585797653811562E-2</v>
      </c>
      <c r="AN77" s="125"/>
      <c r="AO77" s="125"/>
    </row>
    <row r="78" spans="1:41" ht="20.25" x14ac:dyDescent="0.2">
      <c r="A78" s="14" t="s">
        <v>426</v>
      </c>
      <c r="B78" s="131">
        <v>6320</v>
      </c>
      <c r="C78" s="122" t="s">
        <v>438</v>
      </c>
      <c r="D78" s="15" t="s">
        <v>439</v>
      </c>
      <c r="E78" s="133">
        <v>12</v>
      </c>
      <c r="F78" s="5" t="s">
        <v>83</v>
      </c>
      <c r="G78" s="5" t="s">
        <v>446</v>
      </c>
      <c r="H78" s="5" t="s">
        <v>85</v>
      </c>
      <c r="I78" s="5" t="s">
        <v>445</v>
      </c>
      <c r="J78" s="5" t="s">
        <v>307</v>
      </c>
      <c r="K78" s="5" t="s">
        <v>447</v>
      </c>
      <c r="L78" s="20">
        <v>1395.39</v>
      </c>
      <c r="M78" s="20">
        <f>Tableau1[[#This Row],[Cotisation de base TTC]]/Tableau1[[#This Row],[Superficie]]</f>
        <v>0.93026000000000009</v>
      </c>
      <c r="N78" s="20"/>
      <c r="O78" s="20"/>
      <c r="P78" s="20"/>
      <c r="Q78" s="32"/>
      <c r="R78" s="24"/>
      <c r="S78" s="29"/>
      <c r="T78" s="101"/>
      <c r="U78" s="5"/>
      <c r="V78" s="20"/>
      <c r="W78" s="36"/>
      <c r="X78" s="36"/>
      <c r="Y78" s="36"/>
      <c r="Z78" s="36"/>
      <c r="AA78" s="36"/>
      <c r="AB78" s="102"/>
      <c r="AC78" s="102"/>
      <c r="AD78" s="103"/>
      <c r="AE78" s="102"/>
      <c r="AF78" s="130"/>
      <c r="AG78" s="103"/>
      <c r="AH78" s="103"/>
      <c r="AI78" s="5" t="s">
        <v>447</v>
      </c>
      <c r="AJ78" s="20">
        <v>1395.39</v>
      </c>
      <c r="AK78" s="36">
        <f>AJ78/Tableau1[[#This Row],[Superficie]]</f>
        <v>0.93026000000000009</v>
      </c>
      <c r="AL78" s="124"/>
      <c r="AM78" s="42">
        <f>(AJ78-Tableau1[[#This Row],[Cotisation de base TTC]])/Tableau1[[#This Row],[Cotisation de base TTC]]</f>
        <v>0</v>
      </c>
      <c r="AN78" s="125"/>
      <c r="AO78" s="125"/>
    </row>
    <row r="79" spans="1:41" ht="36" x14ac:dyDescent="0.2">
      <c r="A79" s="17" t="s">
        <v>443</v>
      </c>
      <c r="B79" s="131">
        <v>6047</v>
      </c>
      <c r="C79" s="122" t="s">
        <v>440</v>
      </c>
      <c r="D79" s="104" t="s">
        <v>441</v>
      </c>
      <c r="E79" s="121">
        <v>28</v>
      </c>
      <c r="F79" s="5" t="s">
        <v>83</v>
      </c>
      <c r="G79" s="5" t="s">
        <v>446</v>
      </c>
      <c r="H79" s="5" t="s">
        <v>85</v>
      </c>
      <c r="I79" s="5" t="s">
        <v>457</v>
      </c>
      <c r="J79" s="5" t="s">
        <v>458</v>
      </c>
      <c r="K79" s="5" t="s">
        <v>447</v>
      </c>
      <c r="L79" s="20">
        <v>2960.31</v>
      </c>
      <c r="M79" s="20">
        <f>Tableau1[[#This Row],[Cotisation de base TTC]]/Tableau1[[#This Row],[Superficie]]</f>
        <v>0.81663724137931037</v>
      </c>
      <c r="N79" s="20"/>
      <c r="O79" s="20"/>
      <c r="P79" s="20"/>
      <c r="Q79" s="32"/>
      <c r="R79" s="24"/>
      <c r="S79" s="29"/>
      <c r="T79" s="101"/>
      <c r="U79" s="5"/>
      <c r="V79" s="20"/>
      <c r="W79" s="36"/>
      <c r="X79" s="36"/>
      <c r="Y79" s="36"/>
      <c r="Z79" s="36"/>
      <c r="AA79" s="36"/>
      <c r="AB79" s="102"/>
      <c r="AC79" s="102"/>
      <c r="AD79" s="103"/>
      <c r="AE79" s="102"/>
      <c r="AF79" s="130"/>
      <c r="AG79" s="103"/>
      <c r="AH79" s="103"/>
      <c r="AI79" s="5" t="s">
        <v>447</v>
      </c>
      <c r="AJ79" s="20">
        <v>2960.31</v>
      </c>
      <c r="AK79" s="36">
        <f>AJ79/Tableau1[[#This Row],[Superficie]]</f>
        <v>0.81663724137931037</v>
      </c>
      <c r="AL79" s="124"/>
      <c r="AM79" s="42">
        <f>(AJ79-Tableau1[[#This Row],[Cotisation de base TTC]])/Tableau1[[#This Row],[Cotisation de base TTC]]</f>
        <v>0</v>
      </c>
      <c r="AN79" s="125"/>
      <c r="AO79" s="125"/>
    </row>
    <row r="80" spans="1:41" ht="20.25" x14ac:dyDescent="0.2">
      <c r="A80" s="17" t="s">
        <v>444</v>
      </c>
      <c r="B80" s="131">
        <v>1380</v>
      </c>
      <c r="C80" s="105" t="s">
        <v>442</v>
      </c>
      <c r="D80" s="104" t="s">
        <v>285</v>
      </c>
      <c r="E80" s="121">
        <v>20</v>
      </c>
      <c r="F80" s="5" t="s">
        <v>83</v>
      </c>
      <c r="G80" s="5" t="s">
        <v>466</v>
      </c>
      <c r="H80" s="5" t="s">
        <v>85</v>
      </c>
      <c r="I80" s="5" t="s">
        <v>465</v>
      </c>
      <c r="J80" s="5" t="s">
        <v>464</v>
      </c>
      <c r="K80" s="5" t="s">
        <v>447</v>
      </c>
      <c r="L80" s="20">
        <v>2779.18</v>
      </c>
      <c r="M80" s="20">
        <f>Tableau1[[#This Row],[Cotisation de base TTC]]/Tableau1[[#This Row],[Superficie]]</f>
        <v>1.1579916666666665</v>
      </c>
      <c r="N80" s="20"/>
      <c r="O80" s="20"/>
      <c r="P80" s="20"/>
      <c r="Q80" s="32"/>
      <c r="R80" s="24"/>
      <c r="S80" s="29"/>
      <c r="T80" s="101"/>
      <c r="U80" s="5"/>
      <c r="V80" s="20"/>
      <c r="W80" s="36"/>
      <c r="X80" s="36"/>
      <c r="Y80" s="36"/>
      <c r="Z80" s="36"/>
      <c r="AA80" s="36"/>
      <c r="AB80" s="102"/>
      <c r="AC80" s="102"/>
      <c r="AD80" s="103"/>
      <c r="AE80" s="102"/>
      <c r="AF80" s="130"/>
      <c r="AG80" s="103"/>
      <c r="AH80" s="103"/>
      <c r="AI80" s="102"/>
      <c r="AJ80" s="110"/>
      <c r="AK80" s="36">
        <f>AJ80/Tableau1[[#This Row],[Superficie]]</f>
        <v>0</v>
      </c>
      <c r="AL80" s="124"/>
      <c r="AM80" s="42">
        <f>(AJ80-Tableau1[[#This Row],[Cotisation de base TTC]])/Tableau1[[#This Row],[Cotisation de base TTC]]</f>
        <v>-1</v>
      </c>
      <c r="AN80" s="125"/>
      <c r="AO80" s="125"/>
    </row>
    <row r="81" spans="1:41" s="82" customFormat="1" ht="20.25" x14ac:dyDescent="0.3">
      <c r="A81" s="70" t="s">
        <v>81</v>
      </c>
      <c r="B81" s="71"/>
      <c r="C81" s="70"/>
      <c r="D81" s="72">
        <f>ROWS(D11:D80)</f>
        <v>70</v>
      </c>
      <c r="E81" s="73">
        <f>SUBTOTAL(109,E11:E80)</f>
        <v>789</v>
      </c>
      <c r="F81" s="70"/>
      <c r="G81" s="70"/>
      <c r="H81" s="70"/>
      <c r="I81" s="70"/>
      <c r="J81" s="72">
        <f>SUBTOTAL(109,J15:J38,J11:J13,J40:J41,J43:J71)</f>
        <v>63103</v>
      </c>
      <c r="K81" s="72"/>
      <c r="L81" s="74">
        <f>SUBTOTAL(109,L15:L38,L11:L13,L40:L41,L43:L71)</f>
        <v>98447.95</v>
      </c>
      <c r="M81" s="74">
        <f>Tableau1[[#This Row],[Cotisation de base TTC]]/Tableau1[[#This Row],[Superficie]]</f>
        <v>1.560115208468694</v>
      </c>
      <c r="N81" s="74"/>
      <c r="O81" s="74"/>
      <c r="P81" s="74">
        <f>SUBTOTAL(109,P11:P43)</f>
        <v>20331.419999999998</v>
      </c>
      <c r="Q81" s="75"/>
      <c r="R81" s="76"/>
      <c r="S81" s="77"/>
      <c r="T81" s="74">
        <f>SUBTOTAL(109,T11:T43)</f>
        <v>39164.759999999995</v>
      </c>
      <c r="U81" s="30"/>
      <c r="V81" s="20"/>
      <c r="W81" s="78"/>
      <c r="X81" s="79">
        <f>SUBTOTAL(109,X11:X44)</f>
        <v>56114.890000000007</v>
      </c>
      <c r="Y81" s="79">
        <f>Tableau1[[#This Row],[2024]]/Tableau1[[#This Row],[Superficie]]</f>
        <v>0.8892586723293664</v>
      </c>
      <c r="Z81" s="42"/>
      <c r="AA81" s="81">
        <f>(Tableau1[[#This Row],[2024]]-Tableau1[[#This Row],[Cotisation de base TTC]])/Tableau1[[#This Row],[Cotisation de base TTC]]</f>
        <v>-0.43000448460328522</v>
      </c>
      <c r="AB81" s="81"/>
      <c r="AC81" s="81"/>
      <c r="AD81" s="79"/>
      <c r="AE81" s="81"/>
      <c r="AF81" s="81"/>
      <c r="AG81" s="79"/>
      <c r="AH81" s="79">
        <f>Tableau1[[#This Row],[Prix négocié  
2025
Avenant]]/Tableau1[[#This Row],[Superficie]]</f>
        <v>0</v>
      </c>
      <c r="AI81" s="81"/>
      <c r="AJ81" s="81"/>
      <c r="AK81" s="79"/>
      <c r="AL81" s="81"/>
      <c r="AM81" s="81"/>
      <c r="AN81" s="79"/>
      <c r="AO81" s="79">
        <f>Tableau1[[#This Row],[Prix négocié  
2025
Avenant]]/Tableau1[[#This Row],[Superficie]]</f>
        <v>0</v>
      </c>
    </row>
    <row r="82" spans="1:41" s="82" customFormat="1" ht="20.25" x14ac:dyDescent="0.3">
      <c r="A82" s="14"/>
      <c r="B82" s="15"/>
      <c r="C82" s="14"/>
      <c r="D82" s="14"/>
      <c r="E82" s="14"/>
      <c r="F82" s="19"/>
      <c r="G82" s="5"/>
      <c r="H82" s="84"/>
      <c r="I82" s="5"/>
      <c r="J82" s="5"/>
      <c r="K82" s="5"/>
      <c r="L82" s="20"/>
      <c r="M82" s="20"/>
      <c r="N82" s="20"/>
      <c r="O82" s="20"/>
      <c r="P82" s="20"/>
      <c r="Q82" s="32"/>
      <c r="R82" s="24"/>
      <c r="S82" s="29"/>
      <c r="T82" s="5"/>
      <c r="U82" s="5" t="s">
        <v>222</v>
      </c>
      <c r="V82" s="20"/>
      <c r="W82" s="38"/>
      <c r="X82" s="38"/>
      <c r="Y82" s="79"/>
      <c r="Z82" s="42"/>
      <c r="AA82" s="81"/>
      <c r="AB82" s="81"/>
      <c r="AC82" s="81"/>
      <c r="AD82" s="79"/>
      <c r="AE82" s="81"/>
      <c r="AF82" s="81"/>
      <c r="AG82" s="79"/>
      <c r="AH82" s="79" t="e">
        <f>Tableau1[[#This Row],[Prix négocié  
2025
Avenant]]/Tableau1[[#This Row],[Superficie]]</f>
        <v>#DIV/0!</v>
      </c>
      <c r="AI82" s="81"/>
      <c r="AJ82" s="81"/>
      <c r="AK82" s="79"/>
      <c r="AL82" s="81"/>
      <c r="AM82" s="81"/>
      <c r="AN82" s="79"/>
      <c r="AO82" s="79" t="e">
        <f>Tableau1[[#This Row],[Prix négocié  
2025
Avenant]]/Tableau1[[#This Row],[Superficie]]</f>
        <v>#DIV/0!</v>
      </c>
    </row>
    <row r="83" spans="1:41" s="82" customFormat="1" ht="20.100000000000001" customHeight="1" x14ac:dyDescent="0.3">
      <c r="A83" s="14"/>
      <c r="B83" s="15"/>
      <c r="C83" s="14"/>
      <c r="D83" s="14"/>
      <c r="E83" s="14"/>
      <c r="F83" s="19"/>
      <c r="G83" s="5"/>
      <c r="H83" s="70"/>
      <c r="I83" s="70"/>
      <c r="J83" s="72"/>
      <c r="K83" s="72"/>
      <c r="L83" s="74"/>
      <c r="M83" s="74"/>
      <c r="N83" s="20"/>
      <c r="O83" s="20"/>
      <c r="P83" s="74"/>
      <c r="Q83" s="85"/>
      <c r="R83" s="76"/>
      <c r="S83" s="29"/>
      <c r="T83" s="74"/>
      <c r="U83" s="95"/>
      <c r="V83" s="91"/>
      <c r="W83" s="38"/>
      <c r="X83" s="79"/>
      <c r="Y83" s="79"/>
      <c r="Z83" s="80"/>
      <c r="AA83" s="81"/>
      <c r="AB83" s="81"/>
      <c r="AC83" s="81"/>
      <c r="AD83" s="79"/>
      <c r="AE83" s="81"/>
      <c r="AF83" s="81"/>
      <c r="AG83" s="79"/>
      <c r="AH83" s="79"/>
      <c r="AI83" s="81"/>
      <c r="AJ83" s="81"/>
      <c r="AK83" s="79"/>
      <c r="AL83" s="81"/>
      <c r="AM83" s="81"/>
      <c r="AN83" s="79"/>
      <c r="AO83" s="79"/>
    </row>
    <row r="84" spans="1:41" ht="20.100000000000001" customHeight="1" x14ac:dyDescent="0.2">
      <c r="A84" s="14"/>
      <c r="B84" s="15"/>
      <c r="C84" s="14"/>
      <c r="D84" s="14"/>
      <c r="E84" s="14"/>
      <c r="F84" s="88"/>
      <c r="G84" s="11"/>
      <c r="H84" s="89"/>
      <c r="I84" s="89"/>
      <c r="J84" s="90"/>
      <c r="K84" s="90"/>
      <c r="L84" s="91"/>
      <c r="M84" s="91"/>
      <c r="N84" s="22"/>
      <c r="O84" s="22"/>
      <c r="P84" s="22"/>
      <c r="Q84" s="92"/>
      <c r="R84" s="93"/>
      <c r="S84" s="94"/>
      <c r="T84" s="91"/>
      <c r="U84" s="95"/>
      <c r="V84" s="91"/>
      <c r="W84" s="37"/>
      <c r="X84" s="98"/>
      <c r="Y84" s="79"/>
      <c r="Z84" s="99"/>
      <c r="AA84" s="81"/>
      <c r="AB84" s="102"/>
      <c r="AC84" s="102"/>
      <c r="AD84" s="103"/>
      <c r="AE84" s="102"/>
      <c r="AF84" s="102"/>
      <c r="AG84" s="103"/>
      <c r="AH84" s="103"/>
      <c r="AI84" s="102"/>
      <c r="AJ84" s="102"/>
      <c r="AK84" s="103"/>
      <c r="AL84" s="102"/>
      <c r="AM84" s="102"/>
      <c r="AN84" s="103"/>
      <c r="AO84" s="103"/>
    </row>
    <row r="85" spans="1:41" ht="20.100000000000001" customHeight="1" x14ac:dyDescent="0.2">
      <c r="A85" s="14"/>
      <c r="B85" s="15"/>
      <c r="C85" s="14"/>
      <c r="D85" s="14"/>
      <c r="E85" s="14"/>
      <c r="F85" s="88"/>
      <c r="G85" s="11"/>
      <c r="H85" s="89"/>
      <c r="I85" s="89"/>
      <c r="J85" s="97"/>
      <c r="K85" s="11"/>
      <c r="L85" s="91"/>
      <c r="M85" s="91"/>
      <c r="N85" s="22"/>
      <c r="O85" s="22"/>
      <c r="P85" s="22"/>
      <c r="Q85" s="92"/>
      <c r="R85" s="93"/>
      <c r="S85" s="96"/>
      <c r="T85" s="91"/>
      <c r="U85" s="11"/>
      <c r="V85" s="22"/>
      <c r="W85" s="37"/>
      <c r="X85" s="98"/>
      <c r="Y85" s="79"/>
      <c r="Z85" s="37"/>
      <c r="AA85" s="81"/>
      <c r="AB85" s="102"/>
      <c r="AC85" s="102"/>
      <c r="AD85" s="103"/>
      <c r="AE85" s="102"/>
      <c r="AF85" s="102"/>
      <c r="AG85" s="103"/>
      <c r="AH85" s="103"/>
      <c r="AI85" s="102"/>
      <c r="AJ85" s="102"/>
      <c r="AK85" s="103"/>
      <c r="AL85" s="102"/>
      <c r="AM85" s="102"/>
      <c r="AN85" s="103"/>
      <c r="AO85" s="103"/>
    </row>
    <row r="86" spans="1:41" ht="20.25" x14ac:dyDescent="0.2">
      <c r="A86" s="14"/>
      <c r="B86" s="15"/>
      <c r="C86" s="14"/>
      <c r="D86" s="14"/>
      <c r="E86" s="14"/>
      <c r="F86" s="5"/>
      <c r="G86" s="5"/>
      <c r="H86" s="5"/>
      <c r="I86" s="70"/>
      <c r="J86" s="72"/>
      <c r="K86" s="72"/>
      <c r="L86" s="74"/>
      <c r="M86" s="74"/>
      <c r="N86" s="20"/>
      <c r="O86" s="20"/>
      <c r="P86" s="20"/>
      <c r="Q86" s="32"/>
      <c r="R86" s="24"/>
      <c r="S86" s="87"/>
      <c r="T86" s="74"/>
      <c r="U86" s="86"/>
      <c r="V86" s="74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</sheetData>
  <mergeCells count="4">
    <mergeCell ref="D3:AI5"/>
    <mergeCell ref="A9:E9"/>
    <mergeCell ref="F9:I9"/>
    <mergeCell ref="J9:V9"/>
  </mergeCells>
  <phoneticPr fontId="7" type="noConversion"/>
  <conditionalFormatting sqref="B11:B26 AJ11:AO77 AC13:AH80 AA26:AA80 W26:Y84 B27:U42 B43:C43 E43:U43 B44:U45 C46:G47 H46:U80 F48:G80 AI78:AO78 AI79:AJ79 AK79:AO80 AJ80 AA81:AH84 B81:U86 AI81:AO86 W85:AH86">
    <cfRule type="expression" dxfId="10" priority="16">
      <formula>ISBLANK(B11)</formula>
    </cfRule>
  </conditionalFormatting>
  <conditionalFormatting sqref="B46:B59 B61:B63 B65 B68:B69">
    <cfRule type="expression" dxfId="9" priority="9">
      <formula>ISBLANK(B46)</formula>
    </cfRule>
  </conditionalFormatting>
  <conditionalFormatting sqref="B64:D64">
    <cfRule type="expression" dxfId="8" priority="6">
      <formula>ISBLANK(B64)</formula>
    </cfRule>
  </conditionalFormatting>
  <conditionalFormatting sqref="B66:D67">
    <cfRule type="expression" dxfId="7" priority="5">
      <formula>ISBLANK(B66)</formula>
    </cfRule>
  </conditionalFormatting>
  <conditionalFormatting sqref="B70:D80">
    <cfRule type="expression" dxfId="6" priority="2">
      <formula>ISBLANK(B70)</formula>
    </cfRule>
  </conditionalFormatting>
  <conditionalFormatting sqref="C11:C22">
    <cfRule type="expression" dxfId="5" priority="20">
      <formula>ISBLANK(C11)</formula>
    </cfRule>
  </conditionalFormatting>
  <conditionalFormatting sqref="C48:D63 C65:D65 C68:D69">
    <cfRule type="expression" dxfId="4" priority="8">
      <formula>ISBLANK(C48)</formula>
    </cfRule>
  </conditionalFormatting>
  <conditionalFormatting sqref="D11:D22">
    <cfRule type="expression" dxfId="3" priority="21">
      <formula>ISBLANK(D11)</formula>
    </cfRule>
  </conditionalFormatting>
  <conditionalFormatting sqref="E11:E22">
    <cfRule type="expression" dxfId="2" priority="11">
      <formula>ISBLANK(E11)</formula>
    </cfRule>
  </conditionalFormatting>
  <conditionalFormatting sqref="E48:E80">
    <cfRule type="expression" dxfId="1" priority="1">
      <formula>ISBLANK(E48)</formula>
    </cfRule>
  </conditionalFormatting>
  <conditionalFormatting sqref="F11:AH12 AI11:AI77 F13:AA25 AB13:AB80 C23:E26 F26:U26 Z26:Z84 V26:V86 AI80">
    <cfRule type="expression" dxfId="0" priority="71">
      <formula>ISBLANK(C11)</formula>
    </cfRule>
  </conditionalFormatting>
  <pageMargins left="0.70866141732283472" right="0.70866141732283472" top="0.74803149606299213" bottom="0.74803149606299213" header="0.31496062992125984" footer="0.31496062992125984"/>
  <pageSetup paperSize="8" scale="23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Assurance</vt:lpstr>
    </vt:vector>
  </TitlesOfParts>
  <Company>INSULAE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jourdanal</dc:creator>
  <cp:lastModifiedBy>Alexandre JOURDAN</cp:lastModifiedBy>
  <cp:lastPrinted>2024-12-20T09:54:37Z</cp:lastPrinted>
  <dcterms:created xsi:type="dcterms:W3CDTF">2022-12-01T13:55:06Z</dcterms:created>
  <dcterms:modified xsi:type="dcterms:W3CDTF">2026-09-12T06:16:33Z</dcterms:modified>
</cp:coreProperties>
</file>